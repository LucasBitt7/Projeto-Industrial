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998861c39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M-LUCAS" sheetId="1" r:id="R4bd4fac4f1ee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00"/>
    <x:numFmt numFmtId="202" formatCode="0.00"/>
  </x:numFmts>
  <x:fonts count="6">
    <x:font>
      <x:sz val="11"/>
      <x:name val="Carlito"/>
    </x:font>
    <x:font>
      <x:sz val="10"/>
      <x:color rgb="FF000000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10"/>
      <x:color rgb="FF000000"/>
      <x:name val="Arial"/>
    </x:font>
    <x:font>
      <x:sz val="8"/>
      <x:color rgb="FF0563C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A86E8"/>
      </x:patternFill>
    </x:fill>
    <x:fill>
      <x:patternFill patternType="solid">
        <x:fgColor rgb="FFFFF2CC"/>
      </x:patternFill>
    </x:fill>
    <x:fill>
      <x:patternFill patternType="solid">
        <x:fgColor rgb="FF4A86E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2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5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5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6" xfId="0" applyNumberFormat="1" applyFont="1" applyFill="1" applyBorder="1"/>
    <x:xf numFmtId="0" fontId="3" fillId="2" borderId="17" xfId="0" applyNumberFormat="1" applyFont="1" applyFill="1" applyBorder="1"/>
    <x:xf numFmtId="0" fontId="3" fillId="2" borderId="18" xfId="0" applyNumberFormat="1" applyFont="1" applyFill="1" applyBorder="1"/>
    <x:xf numFmtId="0" fontId="3" fillId="2" borderId="19" xfId="0" applyNumberFormat="1" applyFont="1" applyFill="1" applyBorder="1"/>
    <x:xf numFmtId="0" fontId="3" fillId="2" borderId="20" xfId="0" applyNumberFormat="1" applyFont="1" applyFill="1" applyBorder="1"/>
    <x:xf numFmtId="0" fontId="3" fillId="2" borderId="21" xfId="0" applyNumberFormat="1" applyFont="1" applyFill="1" applyBorder="1"/>
    <x:xf numFmtId="0" fontId="3" fillId="2" borderId="22" xfId="0" applyNumberFormat="1" applyFont="1" applyFill="1" applyBorder="1"/>
    <x:xf numFmtId="0" fontId="3" fillId="2" borderId="23" xfId="0" applyNumberFormat="1" applyFont="1" applyFill="1" applyBorder="1"/>
    <x:xf numFmtId="0" fontId="3" fillId="2" borderId="16" xfId="0" applyNumberFormat="1" applyFont="1" applyFill="1" applyBorder="1" applyAlignment="1">
      <x:alignment wrapText="1"/>
    </x:xf>
    <x:xf numFmtId="0" fontId="3" fillId="2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wrapText="1"/>
    </x:xf>
    <x:xf numFmtId="0" fontId="3" fillId="2" borderId="19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0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3" fillId="2" borderId="23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horizontal="center" wrapText="1"/>
    </x:xf>
    <x:xf numFmtId="0" fontId="3" fillId="2" borderId="17" xfId="0" applyNumberFormat="1" applyFont="1" applyFill="1" applyBorder="1" applyAlignment="1">
      <x:alignment horizontal="center" wrapText="1"/>
    </x:xf>
    <x:xf numFmtId="0" fontId="3" fillId="2" borderId="18" xfId="0" applyNumberFormat="1" applyFont="1" applyFill="1" applyBorder="1" applyAlignment="1">
      <x:alignment horizontal="center" wrapText="1"/>
    </x:xf>
    <x:xf numFmtId="0" fontId="3" fillId="2" borderId="19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0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3" fillId="2" borderId="23" xfId="0" applyNumberFormat="1" applyFont="1" applyFill="1" applyBorder="1" applyAlignment="1">
      <x:alignment horizont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2" borderId="12" xfId="0" applyNumberFormat="1" applyFont="1" applyFill="1" applyBorder="1" applyAlignment="1">
      <x:alignment horizontal="center" vertical="center" wrapText="1"/>
    </x:xf>
    <x:xf numFmtId="200" fontId="3" fillId="2" borderId="20" xfId="0" applyNumberFormat="1" applyFont="1" applyFill="1" applyBorder="1" applyAlignment="1">
      <x:alignment horizontal="center" vertical="center" wrapText="1"/>
    </x:xf>
    <x:xf numFmtId="201" fontId="3" fillId="2" borderId="9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4" xfId="0" applyNumberFormat="1" applyFont="1" applyFill="1" applyBorder="1" applyAlignment="1">
      <x:alignment horizontal="center" vertical="center" wrapText="1"/>
    </x:xf>
    <x:xf numFmtId="201" fontId="3" fillId="2" borderId="17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1" fontId="3" fillId="2" borderId="22" xfId="0" applyNumberFormat="1" applyFont="1" applyFill="1" applyBorder="1" applyAlignment="1">
      <x:alignment horizontal="center" vertical="center" wrapText="1"/>
    </x:xf>
    <x:xf numFmtId="202" fontId="3" fillId="2" borderId="9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4" xfId="0" applyNumberFormat="1" applyFont="1" applyFill="1" applyBorder="1" applyAlignment="1">
      <x:alignment horizontal="center" vertical="center" wrapText="1"/>
    </x:xf>
    <x:xf numFmtId="202" fontId="3" fillId="2" borderId="17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202" fontId="3" fillId="2" borderId="2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/>
    </x:xf>
    <x:xf numFmtId="0" fontId="3" fillId="6" borderId="8" xfId="0" applyNumberFormat="1" applyFont="1" applyFill="1" applyBorder="1" applyAlignment="1">
      <x:alignment horizontal="center" vertical="center" wrapText="1"/>
    </x:xf>
    <x:xf numFmtId="0" fontId="3" fillId="6" borderId="10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3" xfId="0" applyNumberFormat="1" applyFont="1" applyFill="1" applyBorder="1"/>
    <x:xf numFmtId="0" fontId="3" fillId="6" borderId="15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15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horizontal="center" wrapText="1"/>
    </x:xf>
    <x:xf numFmtId="0" fontId="3" fillId="6" borderId="15" xfId="0" applyNumberFormat="1" applyFont="1" applyFill="1" applyBorder="1" applyAlignment="1">
      <x:alignment horizont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2" fillId="6" borderId="13" xfId="0" applyNumberFormat="1" applyFont="1" applyFill="1" applyBorder="1" applyAlignment="1">
      <x:alignment horizontal="center" vertical="center" wrapText="1"/>
    </x:xf>
    <x:xf numFmtId="0" fontId="2" fillId="6" borderId="14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/>
    </x:xf>
    <x:xf numFmtId="0" fontId="3" fillId="6" borderId="8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2" fillId="6" borderId="11" xfId="0" applyNumberFormat="1" applyFont="1" applyFill="1" applyBorder="1" applyAlignment="1">
      <x:alignment horizontal="center" vertical="center"/>
    </x:xf>
    <x:xf numFmtId="0" fontId="2" fillId="6" xfId="0" applyNumberFormat="1" applyFont="1" applyFill="1" applyBorder="0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 vertical="center"/>
    </x:xf>
    <x:xf numFmtId="0" fontId="3" fillId="6" xfId="0" applyNumberFormat="1" applyFont="1" applyFill="1" applyBorder="0"/>
    <x:xf numFmtId="0" fontId="3" fillId="6" borderId="12" xfId="0" applyNumberFormat="1" applyFont="1" applyFill="1" applyBorder="1"/>
    <x:xf numFmtId="0" fontId="3" fillId="6" borderId="14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9" xfId="0" applyNumberFormat="1" applyFont="1" applyFill="1" applyBorder="1" applyAlignment="1">
      <x:alignment wrapText="1"/>
    </x:xf>
    <x:xf numFmtId="0" fontId="3" fillId="6" borderId="10" xfId="0" applyNumberFormat="1" applyFont="1" applyFill="1" applyBorder="1" applyAlignment="1">
      <x:alignment wrapText="1"/>
    </x:xf>
    <x:xf numFmtId="0" fontId="2" fillId="6" borderId="11" xfId="0" applyNumberFormat="1" applyFont="1" applyFill="1" applyBorder="1" applyAlignment="1">
      <x:alignment horizontal="center" vertical="center" wrapText="1"/>
    </x:xf>
    <x:xf numFmtId="0" fontId="2" fillId="6" xfId="0" applyNumberFormat="1" applyFont="1" applyFill="1" applyBorder="0" applyAlignment="1">
      <x:alignment horizontal="center" vertical="center" wrapText="1"/>
    </x:xf>
    <x:xf numFmtId="0" fontId="2" fillId="6" borderId="12" xfId="0" applyNumberFormat="1" applyFont="1" applyFill="1" applyBorder="1" applyAlignment="1">
      <x:alignment horizontal="center" vertical="center" wrapText="1"/>
    </x:xf>
    <x:xf numFmtId="0" fontId="3" fillId="6" xfId="0" applyNumberFormat="1" applyFont="1" applyFill="1" applyBorder="0" applyAlignment="1">
      <x:alignment wrapText="1"/>
    </x:xf>
    <x:xf numFmtId="0" fontId="3" fillId="6" borderId="12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horizontal="center" wrapText="1"/>
    </x:xf>
    <x:xf numFmtId="0" fontId="3" fillId="6" borderId="9" xfId="0" applyNumberFormat="1" applyFont="1" applyFill="1" applyBorder="1" applyAlignment="1">
      <x:alignment horizontal="center" wrapText="1"/>
    </x:xf>
    <x:xf numFmtId="0" fontId="3" fillId="6" borderId="10" xfId="0" applyNumberFormat="1" applyFont="1" applyFill="1" applyBorder="1" applyAlignment="1">
      <x:alignment horizontal="center" wrapText="1"/>
    </x:xf>
    <x:xf numFmtId="0" fontId="3" fillId="6" xfId="0" applyNumberFormat="1" applyFont="1" applyFill="1" applyBorder="0" applyAlignment="1">
      <x:alignment horizontal="center" wrapText="1"/>
    </x:xf>
    <x:xf numFmtId="0" fontId="3" fillId="6" borderId="12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3" fillId="6" xfId="0" applyNumberFormat="1" applyFont="1" applyFill="1" applyBorder="0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202" fontId="3" fillId="6" borderId="9" xfId="0" applyNumberFormat="1" applyFont="1" applyFill="1" applyBorder="1" applyAlignment="1">
      <x:alignment horizontal="center" vertical="center" wrapText="1"/>
    </x:xf>
    <x:xf numFmtId="202" fontId="3" fillId="6" borderId="10" xfId="0" applyNumberFormat="1" applyFont="1" applyFill="1" applyBorder="1" applyAlignment="1">
      <x:alignment horizontal="center" vertical="center" wrapText="1"/>
    </x:xf>
    <x:xf numFmtId="202" fontId="2" fillId="6" xfId="0" applyNumberFormat="1" applyFont="1" applyFill="1" applyBorder="0" applyAlignment="1">
      <x:alignment horizontal="center" vertical="center" wrapText="1"/>
    </x:xf>
    <x:xf numFmtId="202" fontId="2" fillId="6" borderId="12" xfId="0" applyNumberFormat="1" applyFont="1" applyFill="1" applyBorder="1" applyAlignment="1">
      <x:alignment horizontal="center" vertical="center" wrapText="1"/>
    </x:xf>
    <x:xf numFmtId="202" fontId="2" fillId="6" borderId="3" xfId="0" applyNumberFormat="1" applyFont="1" applyFill="1" applyBorder="1" applyAlignment="1">
      <x:alignment horizontal="center" vertical="center" wrapText="1"/>
    </x:xf>
    <x:xf numFmtId="202" fontId="2" fillId="6" borderId="4" xfId="0" applyNumberFormat="1" applyFont="1" applyFill="1" applyBorder="1" applyAlignment="1">
      <x:alignment horizontal="center" vertical="center" wrapText="1"/>
    </x:xf>
    <x:xf numFmtId="202" fontId="3" fillId="6" xfId="0" applyNumberFormat="1" applyFont="1" applyFill="1" applyBorder="0" applyAlignment="1">
      <x:alignment horizontal="center" vertical="center" wrapText="1"/>
    </x:xf>
    <x:xf numFmtId="202" fontId="3" fillId="6" borderId="12" xfId="0" applyNumberFormat="1" applyFont="1" applyFill="1" applyBorder="1" applyAlignment="1">
      <x:alignment horizontal="center" vertical="center" wrapText="1"/>
    </x:xf>
    <x:xf numFmtId="202" fontId="3" fillId="6" borderId="3" xfId="0" applyNumberFormat="1" applyFont="1" applyFill="1" applyBorder="1" applyAlignment="1">
      <x:alignment horizontal="center" vertical="center" wrapText="1"/>
    </x:xf>
    <x:xf numFmtId="202" fontId="3" fillId="6" borderId="4" xfId="0" applyNumberFormat="1" applyFont="1" applyFill="1" applyBorder="1" applyAlignment="1">
      <x:alignment horizontal="center" vertical="center" wrapText="1"/>
    </x:xf>
    <x:xf numFmtId="202" fontId="3" fillId="6" borderId="14" xfId="0" applyNumberFormat="1" applyFont="1" applyFill="1" applyBorder="1" applyAlignment="1">
      <x:alignment horizontal="center" vertical="center" wrapText="1"/>
    </x:xf>
    <x:xf numFmtId="202" fontId="3" fillId="6" borderId="15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horizontal="center" wrapText="1"/>
    </x:xf>
    <x:xf numFmtId="0" fontId="2" fillId="6" borderId="4" xfId="0" applyNumberFormat="1" applyFont="1" applyFill="1" applyBorder="1" applyAlignment="1">
      <x:alignment horizontal="center" wrapText="1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/>
    <x:xf numFmtId="0" fontId="2" fillId="6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horizontal="center" wrapText="1"/>
    </x:xf>
    <x:xf numFmtId="0" fontId="3" fillId="6" borderId="11" xfId="0" applyNumberFormat="1" applyFont="1" applyFill="1" applyBorder="1"/>
    <x:xf numFmtId="0" fontId="3" fillId="6" borderId="11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vertical="center"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b4e126b124ac0" /><Relationship Type="http://schemas.openxmlformats.org/officeDocument/2006/relationships/theme" Target="/xl/theme/theme1.xml" Id="R2c43ddffd45e4485" /><Relationship Type="http://schemas.openxmlformats.org/officeDocument/2006/relationships/sharedStrings" Target="/xl/sharedStrings.xml" Id="Rcc291a91389c4d83" /><Relationship Type="http://schemas.openxmlformats.org/officeDocument/2006/relationships/worksheet" Target="/xl/worksheets/sheet1.xml" Id="R4bd4fac4f1ee44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bf3113cf6bc4fc5" /><Relationship Type="http://schemas.openxmlformats.org/officeDocument/2006/relationships/image" Target="/xl/media/image2.jpg" Id="R586faf355bfc4dca" /><Relationship Type="http://schemas.openxmlformats.org/officeDocument/2006/relationships/image" Target="/xl/media/image3.jpg" Id="Rbe56a5feea04434f" /><Relationship Type="http://schemas.openxmlformats.org/officeDocument/2006/relationships/image" Target="/xl/media/image4.jpg" Id="Rf9704a0851894723" /><Relationship Type="http://schemas.openxmlformats.org/officeDocument/2006/relationships/image" Target="/xl/media/image5.jpg" Id="R377a3889e8424ea5" /><Relationship Type="http://schemas.openxmlformats.org/officeDocument/2006/relationships/image" Target="/xl/media/image6.jpg" Id="Rc44f7bdb476441cb" /><Relationship Type="http://schemas.openxmlformats.org/officeDocument/2006/relationships/image" Target="/xl/media/image7.jpg" Id="R83490265bb7943bb" /><Relationship Type="http://schemas.openxmlformats.org/officeDocument/2006/relationships/image" Target="/xl/media/image8.jpg" Id="R860ca6e308084222" /><Relationship Type="http://schemas.openxmlformats.org/officeDocument/2006/relationships/image" Target="/xl/media/image9.jpg" Id="Rcbc503651b4848c7" /><Relationship Type="http://schemas.openxmlformats.org/officeDocument/2006/relationships/image" Target="/xl/media/image10.jpg" Id="Rf5496a25a365446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26</xdr:row>
      <xdr:rowOff>0</xdr:rowOff>
    </xdr:from>
    <xdr:ext cx="4953000" cy="100012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f3113cf6bc4f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32</xdr:row>
      <xdr:rowOff>0</xdr:rowOff>
    </xdr:from>
    <xdr:ext cx="4762500" cy="2095500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6faf355bfc4d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32</xdr:row>
      <xdr:rowOff>0</xdr:rowOff>
    </xdr:from>
    <xdr:ext cx="5810250" cy="209550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6a5feea0443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57</xdr:row>
      <xdr:rowOff>0</xdr:rowOff>
    </xdr:from>
    <xdr:ext cx="5715000" cy="2428875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704a08518947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86</xdr:row>
      <xdr:rowOff>0</xdr:rowOff>
    </xdr:from>
    <xdr:ext cx="6858000" cy="2190750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a3889e8424e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107</xdr:row>
      <xdr:rowOff>0</xdr:rowOff>
    </xdr:from>
    <xdr:ext cx="9334500" cy="2047875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4f7bdb476441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124</xdr:row>
      <xdr:rowOff>0</xdr:rowOff>
    </xdr:from>
    <xdr:ext cx="6191250" cy="2143125"/>
    <xdr:pic>
      <xdr:nvPicPr>
        <xdr:cNvPr id="7" name="ad04a07c-7490-41be-8f87-c43663df1f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90265bb7943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136</xdr:row>
      <xdr:rowOff>0</xdr:rowOff>
    </xdr:from>
    <xdr:ext cx="4953000" cy="1619250"/>
    <xdr:pic>
      <xdr:nvPicPr>
        <xdr:cNvPr id="8" name="c0789ab0-1955-4a8f-a45f-1645dd2284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ca6e3080842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150</xdr:row>
      <xdr:rowOff>0</xdr:rowOff>
    </xdr:from>
    <xdr:ext cx="4000500" cy="1238250"/>
    <xdr:pic>
      <xdr:nvPicPr>
        <xdr:cNvPr id="9" name="f932b4c1-5140-464a-b224-309b0831ef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503651b4848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165</xdr:row>
      <xdr:rowOff>0</xdr:rowOff>
    </xdr:from>
    <xdr:ext cx="4762500" cy="3190875"/>
    <xdr:pic>
      <xdr:nvPicPr>
        <xdr:cNvPr id="10" name="4cbbe71d-8e6f-41d2-8f2c-fbeac395c2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496a25a36544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83d50a849441e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7" hidden="0" customWidth="1"/>
    <x:col min="3" max="3" width="21" hidden="0" customWidth="1"/>
    <x:col min="4" max="4" width="21" hidden="0" customWidth="1"/>
    <x:col min="5" max="5" width="21" hidden="0" customWidth="1"/>
    <x:col min="6" max="6" width="18" hidden="0" customWidth="1"/>
    <x:col min="7" max="7" width="17" hidden="0" customWidth="1"/>
    <x:col min="8" max="8" width="17" hidden="0" customWidth="1"/>
    <x:col min="9" max="9" width="18" hidden="0" customWidth="1"/>
    <x:col min="10" max="10" width="24" hidden="0" customWidth="1"/>
  </x:cols>
  <x:sheetData>
    <x:row r="1" ht="18" customHeight="1">
      <x:c r="A1" s="4" t="str">
        <x:v>DADOS DO LOCAL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8" customHeight="1">
      <x:c r="A2" s="18" t="str">
        <x:v>LOCAL</x:v>
      </x:c>
      <x:c r="B2" s="19" t="str">
        <x:v>LARGURA L (m)</x:v>
      </x:c>
      <x:c r="C2" s="19" t="str">
        <x:v>COMPRIMENTO C (m)</x:v>
      </x:c>
      <x:c r="D2" s="19" t="str">
        <x:v>ALTURA DE MANUSEIO TRABALHO Hpp (m)</x:v>
      </x:c>
      <x:c r="E2" s="19" t="str">
        <x:v>ALTURA TOTAL/PÉ-DIREITO Htp (m)</x:v>
      </x:c>
      <x:c r="F2" s="19" t="str">
        <x:v>ALTURA ÚTIL / ALTURA DE TRABALHO Hlp (m)</x:v>
      </x:c>
      <x:c r="G2" s="19" t="str">
        <x:v>TETO</x:v>
      </x:c>
      <x:c r="H2" s="19" t="str">
        <x:v>PAREDE</x:v>
      </x:c>
      <x:c r="I2" s="19" t="str">
        <x:v>PISO</x:v>
      </x:c>
      <x:c r="J2" s="20" t="str">
        <x:v>LÂMPADA UTILIZADA</x:v>
      </x:c>
    </x:row>
    <x:row r="3" ht="18" customHeight="1">
      <x:c r="A3" s="61" t="str">
        <x:v>SAÍDA DE PRODUTOS (SALA DE PRODUTOS)</x:v>
      </x:c>
      <x:c r="B3" s="62" t="n">
        <x:v>5</x:v>
      </x:c>
      <x:c r="C3" s="62" t="n">
        <x:v>6</x:v>
      </x:c>
      <x:c r="D3" s="62" t="n">
        <x:v>0.8</x:v>
      </x:c>
      <x:c r="E3" s="62" t="n">
        <x:v>3</x:v>
      </x:c>
      <x:c r="F3" s="62" t="n">
        <x:f>E3-D3</x:f>
        <x:v>2.2</x:v>
      </x:c>
      <x:c r="G3" s="62" t="str">
        <x:v>CLARO</x:v>
      </x:c>
      <x:c r="H3" s="62" t="str">
        <x:v>CLARA</x:v>
      </x:c>
      <x:c r="I3" s="62" t="str">
        <x:v>AZULEJO CINZA</x:v>
      </x:c>
      <x:c r="J3" s="63" t="str">
        <x:v>FLUORESCENTE</x:v>
      </x:c>
    </x:row>
    <x:row r="4" ht="18" customHeight="1">
      <x:c r="A4" s="64" t="str">
        <x:v>CONTROLE DE QUALIDADE</x:v>
      </x:c>
      <x:c r="B4" s="65" t="n">
        <x:v>5</x:v>
      </x:c>
      <x:c r="C4" s="65" t="n">
        <x:v>6</x:v>
      </x:c>
      <x:c r="D4" s="65" t="n">
        <x:v>0.8</x:v>
      </x:c>
      <x:c r="E4" s="65" t="n">
        <x:v>3</x:v>
      </x:c>
      <x:c r="F4" s="65" t="n">
        <x:f>E4-D4</x:f>
        <x:v>2.2</x:v>
      </x:c>
      <x:c r="G4" s="65" t="str">
        <x:v>BRANCO</x:v>
      </x:c>
      <x:c r="H4" s="65" t="str">
        <x:v>BRANCA</x:v>
      </x:c>
      <x:c r="I4" s="65" t="str">
        <x:v>AZULEJO CINZA</x:v>
      </x:c>
      <x:c r="J4" s="66" t="str">
        <x:v>FLUORESCENTE</x:v>
      </x:c>
    </x:row>
    <x:row r="5" ht="18" customHeight="1">
      <x:c r="A5" s="64" t="str">
        <x:v>BANHEIRO (VESTUÁRIO)</x:v>
      </x:c>
      <x:c r="B5" s="65" t="n">
        <x:v>5.23</x:v>
      </x:c>
      <x:c r="C5" s="65" t="n">
        <x:v>3.5</x:v>
      </x:c>
      <x:c r="D5" s="65" t="n">
        <x:v>0.8</x:v>
      </x:c>
      <x:c r="E5" s="65" t="n">
        <x:v>3</x:v>
      </x:c>
      <x:c r="F5" s="65" t="n">
        <x:f>E5-D5</x:f>
        <x:v>2.2</x:v>
      </x:c>
      <x:c r="G5" s="65" t="str">
        <x:v>CLARO</x:v>
      </x:c>
      <x:c r="H5" s="65" t="str">
        <x:v>CLARA</x:v>
      </x:c>
      <x:c r="I5" s="65" t="str">
        <x:v>AZULEJO CINZA</x:v>
      </x:c>
      <x:c r="J5" s="66" t="str">
        <x:v>FLUORESCENTE</x:v>
      </x:c>
    </x:row>
    <x:row r="6" ht="18" customHeight="1">
      <x:c r="A6" s="67" t="str">
        <x:v>ESCRITÓRIO</x:v>
      </x:c>
      <x:c r="B6" s="68" t="n">
        <x:v>8.12</x:v>
      </x:c>
      <x:c r="C6" s="68" t="n">
        <x:v>6</x:v>
      </x:c>
      <x:c r="D6" s="68" t="n">
        <x:v>0.8</x:v>
      </x:c>
      <x:c r="E6" s="68" t="n">
        <x:v>3</x:v>
      </x:c>
      <x:c r="F6" s="68" t="n">
        <x:f>E6-D6</x:f>
        <x:v>2.2</x:v>
      </x:c>
      <x:c r="G6" s="68" t="str">
        <x:v>BRANCO</x:v>
      </x:c>
      <x:c r="H6" s="68" t="str">
        <x:v>BEGE</x:v>
      </x:c>
      <x:c r="I6" s="68" t="str">
        <x:v>AZULEJO CINZA</x:v>
      </x:c>
      <x:c r="J6" s="69" t="str">
        <x:v>FLUORESCENTE</x:v>
      </x:c>
    </x:row>
    <x:row r="7" ht="18" customHeight="1"/>
    <x:row r="8" ht="18" customHeight="1">
      <x:c r="A8" s="109" t="str">
        <x:v>MÉTODO LUMENS</x:v>
      </x:c>
      <x:c r="B8" s="109"/>
      <x:c r="C8" s="109"/>
      <x:c r="D8" s="109"/>
      <x:c r="E8" s="109"/>
      <x:c r="F8" s="109"/>
      <x:c r="G8" s="109"/>
      <x:c r="H8" s="109"/>
      <x:c r="I8" s="109"/>
      <x:c r="J8" s="109"/>
    </x:row>
    <x:row r="9" ht="18" customHeight="1">
      <x:c r="A9" s="116" t="str">
        <x:v>As quatro áreas são dimensionadas pelo Método dos Lumens. A revisão segue o padrão das demais páginas, corrigindo refletâncias e incorporando as faixas de iluminância usadas no restante do trabalho.</x:v>
      </x:c>
      <x:c r="B9" s="116"/>
      <x:c r="C9" s="116"/>
      <x:c r="D9" s="116"/>
      <x:c r="E9" s="116"/>
      <x:c r="F9" s="116"/>
      <x:c r="G9" s="116"/>
      <x:c r="H9" s="116"/>
      <x:c r="I9" s="116"/>
      <x:c r="J9" s="116"/>
    </x:row>
    <x:row r="10" ht="18" customHeight="1"/>
    <x:row r="11" ht="18" customHeight="1">
      <x:c r="A11" s="109" t="str">
        <x:v>ILUMINAMENTO</x:v>
      </x:c>
      <x:c r="B11" s="109"/>
      <x:c r="C11" s="109"/>
      <x:c r="D11" s="109"/>
      <x:c r="E11" s="109"/>
      <x:c r="F11" s="109"/>
      <x:c r="G11" s="109"/>
      <x:c r="H11" s="109"/>
      <x:c r="I11" s="109"/>
      <x:c r="J11" s="109"/>
    </x:row>
    <x:row r="12" ht="18" customHeight="1"/>
    <x:row r="13" ht="18" customHeight="1">
      <x:c r="A13" s="18" t="str">
        <x:v>CARACTERÍSTICAS DA TAREFA E DO OBSERVADOR ADOTADAS</x:v>
      </x:c>
      <x:c r="B13" s="20"/>
    </x:row>
    <x:row r="14" ht="18" customHeight="1">
      <x:c r="A14" s="61" t="str">
        <x:v>IDADE</x:v>
      </x:c>
      <x:c r="B14" s="63" t="n">
        <x:v>41</x:v>
      </x:c>
    </x:row>
    <x:row r="15" ht="18" customHeight="1">
      <x:c r="A15" s="64" t="str">
        <x:v>VELOCIDADE E PRECISÃO</x:v>
      </x:c>
      <x:c r="B15" s="66" t="str">
        <x:v>IMPORTANTE</x:v>
      </x:c>
    </x:row>
    <x:row r="16" ht="18" customHeight="1">
      <x:c r="A16" s="64" t="str">
        <x:v>REFLETÂNCIA NO FUNDO DA TAREFA</x:v>
      </x:c>
      <x:c r="B16" s="120" t="n">
        <x:v>0.4</x:v>
      </x:c>
    </x:row>
    <x:row r="17" ht="18" customHeight="1">
      <x:c r="A17" s="67" t="str">
        <x:v>CÁLCULO DE PESO</x:v>
      </x:c>
      <x:c r="B17" s="69" t="n">
        <x:v>0</x:v>
      </x:c>
    </x:row>
    <x:row r="18" ht="18" customHeight="1"/>
    <x:row r="19" ht="18" customHeight="1"/>
    <x:row r="20" ht="18" customHeight="1">
      <x:c r="A20" s="18" t="str">
        <x:v>FAIXAS, ILUMINÂNCIAS E TIPO DE ATIVIDADE ADOTADOS</x:v>
      </x:c>
      <x:c r="B20" s="20"/>
    </x:row>
    <x:row r="21" ht="18" customHeight="1">
      <x:c r="A21" s="18" t="str">
        <x:v>AMBIENTE</x:v>
      </x:c>
      <x:c r="B21" s="19" t="str">
        <x:v>FAIXA</x:v>
      </x:c>
      <x:c r="C21" s="19" t="str">
        <x:v>TIPO DE ATIVIDADE</x:v>
      </x:c>
      <x:c r="D21" s="19" t="str">
        <x:v>LUX INFERIOR</x:v>
      </x:c>
      <x:c r="E21" s="19" t="str">
        <x:v>LUX MÉDIO</x:v>
      </x:c>
      <x:c r="F21" s="19" t="str">
        <x:v>LUX SUPERIOR</x:v>
      </x:c>
      <x:c r="G21" s="19" t="str">
        <x:v>PESO</x:v>
      </x:c>
      <x:c r="H21" s="19" t="str">
        <x:v>E PELA FAIXA [lux]</x:v>
      </x:c>
      <x:c r="I21" s="19" t="str">
        <x:v>E ESPECÍFICA [lux]</x:v>
      </x:c>
      <x:c r="J21" s="20" t="str">
        <x:v>E ADOTADA [lux]</x:v>
      </x:c>
    </x:row>
    <x:row r="22" ht="18" customHeight="1">
      <x:c r="A22" s="61" t="str">
        <x:f>A3</x:f>
        <x:v>SAÍDA DE PRODUTOS (SALA DE PRODUTOS)</x:v>
      </x:c>
      <x:c r="B22" s="62" t="str">
        <x:v>A</x:v>
      </x:c>
      <x:c r="C22" s="62" t="str">
        <x:v>Recintos não usados para trabalho contínuo, depósitos</x:v>
      </x:c>
      <x:c r="D22" s="62" t="n">
        <x:v>100</x:v>
      </x:c>
      <x:c r="E22" s="62" t="n">
        <x:v>150</x:v>
      </x:c>
      <x:c r="F22" s="62" t="n">
        <x:v>200</x:v>
      </x:c>
      <x:c r="G22" s="62" t="n">
        <x:f>$B$17</x:f>
        <x:v>0</x:v>
      </x:c>
      <x:c r="H22" s="62" t="n">
        <x:f>IF(G22&lt;=-2,D22,IF(G22&gt;=2,F22,E22))</x:f>
        <x:v>150</x:v>
      </x:c>
      <x:c r="I22" s="62" t="n">
        <x:v>200</x:v>
      </x:c>
      <x:c r="J22" s="63" t="n">
        <x:f>MAX(H22,I22)</x:f>
        <x:v>200</x:v>
      </x:c>
    </x:row>
    <x:row r="23" ht="18" customHeight="1">
      <x:c r="A23" s="64" t="str">
        <x:f>A4</x:f>
        <x:v>CONTROLE DE QUALIDADE</x:v>
      </x:c>
      <x:c r="B23" s="65" t="str">
        <x:v>B</x:v>
      </x:c>
      <x:c r="C23" s="65" t="str">
        <x:v>Tarefas com requisitos especiais: inspeção</x:v>
      </x:c>
      <x:c r="D23" s="65" t="n">
        <x:v>1000</x:v>
      </x:c>
      <x:c r="E23" s="65" t="n">
        <x:v>1500</x:v>
      </x:c>
      <x:c r="F23" s="65" t="n">
        <x:v>2000</x:v>
      </x:c>
      <x:c r="G23" s="65" t="n">
        <x:f>$B$17</x:f>
        <x:v>0</x:v>
      </x:c>
      <x:c r="H23" s="65" t="n">
        <x:f>IF(G23&lt;=-2,D23,IF(G23&gt;=2,F23,E23))</x:f>
        <x:v>1500</x:v>
      </x:c>
      <x:c r="I23" s="65" t="n">
        <x:v>500</x:v>
      </x:c>
      <x:c r="J23" s="66" t="n">
        <x:f>MAX(H23,I23)</x:f>
        <x:v>1500</x:v>
      </x:c>
    </x:row>
    <x:row r="24" ht="18" customHeight="1">
      <x:c r="A24" s="64" t="str">
        <x:f>A5</x:f>
        <x:v>BANHEIRO (VESTUÁRIO)</x:v>
      </x:c>
      <x:c r="B24" s="65" t="str">
        <x:v>A</x:v>
      </x:c>
      <x:c r="C24" s="65" t="str">
        <x:v>Orientação simples para permanência curta</x:v>
      </x:c>
      <x:c r="D24" s="65" t="n">
        <x:v>50</x:v>
      </x:c>
      <x:c r="E24" s="65" t="n">
        <x:v>75</x:v>
      </x:c>
      <x:c r="F24" s="65" t="n">
        <x:v>100</x:v>
      </x:c>
      <x:c r="G24" s="65" t="n">
        <x:f>$B$17</x:f>
        <x:v>0</x:v>
      </x:c>
      <x:c r="H24" s="65" t="n">
        <x:f>IF(G24&lt;=-2,D24,IF(G24&gt;=2,F24,E24))</x:f>
        <x:v>75</x:v>
      </x:c>
      <x:c r="I24" s="65" t="n">
        <x:v>200</x:v>
      </x:c>
      <x:c r="J24" s="66" t="n">
        <x:f>MAX(H24,I24)</x:f>
        <x:v>200</x:v>
      </x:c>
    </x:row>
    <x:row r="25" ht="18" customHeight="1">
      <x:c r="A25" s="67" t="str">
        <x:f>A6</x:f>
        <x:v>ESCRITÓRIO</x:v>
      </x:c>
      <x:c r="B25" s="68" t="str">
        <x:v>B</x:v>
      </x:c>
      <x:c r="C25" s="68" t="str">
        <x:v>Tarefas com requisitos visuais normais: escritórios</x:v>
      </x:c>
      <x:c r="D25" s="68" t="n">
        <x:v>500</x:v>
      </x:c>
      <x:c r="E25" s="68" t="n">
        <x:v>750</x:v>
      </x:c>
      <x:c r="F25" s="68" t="n">
        <x:v>1000</x:v>
      </x:c>
      <x:c r="G25" s="68" t="n">
        <x:f>$B$17</x:f>
        <x:v>0</x:v>
      </x:c>
      <x:c r="H25" s="68" t="n">
        <x:f>IF(G25&lt;=-2,D25,IF(G25&gt;=2,F25,E25))</x:f>
        <x:v>750</x:v>
      </x:c>
      <x:c r="I25" s="68" t="n">
        <x:v>250</x:v>
      </x:c>
      <x:c r="J25" s="69" t="n">
        <x:f>MAX(H25,I25)</x:f>
        <x:v>750</x:v>
      </x:c>
    </x:row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>
      <x:c r="A47" s="18" t="str">
        <x:v>ILUMINÂNCIA FINAL ADOTADA</x:v>
      </x:c>
      <x:c r="B47" s="20"/>
    </x:row>
    <x:row r="48" ht="18" customHeight="1">
      <x:c r="A48" s="18" t="str">
        <x:v>AMBIENTE</x:v>
      </x:c>
      <x:c r="B48" s="19" t="str">
        <x:v>TIPO ESPECÍFICO</x:v>
      </x:c>
      <x:c r="C48" s="19" t="str">
        <x:v>E PELA FAIXA [lux]</x:v>
      </x:c>
      <x:c r="D48" s="19" t="str">
        <x:v>E MÍNIMA ESPECÍFICA [lux]</x:v>
      </x:c>
      <x:c r="E48" s="20" t="str">
        <x:v>E FINAL ADOTADA [lux]</x:v>
      </x:c>
    </x:row>
    <x:row r="49" ht="18" customHeight="1">
      <x:c r="A49" s="61" t="str">
        <x:f>A22</x:f>
        <x:v>SAÍDA DE PRODUTOS (SALA DE PRODUTOS)</x:v>
      </x:c>
      <x:c r="B49" s="62" t="str">
        <x:v>LOCAIS DE ARMAZENAMENTO - GRANDES VOLUMES</x:v>
      </x:c>
      <x:c r="C49" s="62" t="n">
        <x:f>H22</x:f>
        <x:v>150</x:v>
      </x:c>
      <x:c r="D49" s="62" t="n">
        <x:f>I22</x:f>
        <x:v>200</x:v>
      </x:c>
      <x:c r="E49" s="63" t="n">
        <x:f>J22</x:f>
        <x:v>200</x:v>
      </x:c>
    </x:row>
    <x:row r="50" ht="18" customHeight="1">
      <x:c r="A50" s="64" t="str">
        <x:f>A23</x:f>
        <x:v>CONTROLE DE QUALIDADE</x:v>
      </x:c>
      <x:c r="B50" s="65" t="str">
        <x:v>INSPEÇÃO / CONTROLE DE QUALIDADE</x:v>
      </x:c>
      <x:c r="C50" s="65" t="n">
        <x:f>H23</x:f>
        <x:v>1500</x:v>
      </x:c>
      <x:c r="D50" s="65" t="n">
        <x:f>I23</x:f>
        <x:v>500</x:v>
      </x:c>
      <x:c r="E50" s="66" t="n">
        <x:f>J23</x:f>
        <x:v>1500</x:v>
      </x:c>
    </x:row>
    <x:row r="51" ht="18" customHeight="1">
      <x:c r="A51" s="64" t="str">
        <x:f>A24</x:f>
        <x:v>BANHEIRO (VESTUÁRIO)</x:v>
      </x:c>
      <x:c r="B51" s="65" t="str">
        <x:v>BANHEIROS / VESTIÁRIOS</x:v>
      </x:c>
      <x:c r="C51" s="65" t="n">
        <x:f>H24</x:f>
        <x:v>75</x:v>
      </x:c>
      <x:c r="D51" s="65" t="n">
        <x:f>I24</x:f>
        <x:v>200</x:v>
      </x:c>
      <x:c r="E51" s="66" t="n">
        <x:f>J24</x:f>
        <x:v>200</x:v>
      </x:c>
    </x:row>
    <x:row r="52" ht="18" customHeight="1">
      <x:c r="A52" s="67" t="str">
        <x:f>A25</x:f>
        <x:v>ESCRITÓRIO</x:v>
      </x:c>
      <x:c r="B52" s="68" t="str">
        <x:v>ESCRITÓRIOS - SALA DE TRABALHO</x:v>
      </x:c>
      <x:c r="C52" s="68" t="n">
        <x:f>H25</x:f>
        <x:v>750</x:v>
      </x:c>
      <x:c r="D52" s="68" t="n">
        <x:f>I25</x:f>
        <x:v>250</x:v>
      </x:c>
      <x:c r="E52" s="69" t="n">
        <x:f>J25</x:f>
        <x:v>750</x:v>
      </x:c>
    </x:row>
    <x:row r="53" ht="18" customHeight="1"/>
    <x:row r="54" ht="18" customHeight="1">
      <x:c r="A54" s="116" t="str">
        <x:v>Critério final: maior valor entre a faixa e a iluminância específica. Sala de Produtos = 200 lux; Controle de Qualidade = 1500 lux; Banheiro/Vestiário = 200 lux; Escritório = 750 lux.</x:v>
      </x:c>
      <x:c r="B54" s="116"/>
      <x:c r="C54" s="116"/>
      <x:c r="D54" s="116"/>
      <x:c r="E54" s="116"/>
      <x:c r="F54" s="116"/>
      <x:c r="G54" s="116"/>
      <x:c r="H54" s="116"/>
      <x:c r="I54" s="116"/>
      <x:c r="J54" s="116"/>
    </x:row>
    <x:row r="55" ht="18" customHeight="1"/>
    <x:row r="56" ht="18" customHeight="1">
      <x:c r="A56" s="109" t="str">
        <x:v>LUMINÁRIA, LÂMPADA E REATOR ADOTADOS</x:v>
      </x:c>
      <x:c r="B56" s="109"/>
      <x:c r="C56" s="109"/>
      <x:c r="D56" s="109"/>
      <x:c r="E56" s="109"/>
      <x:c r="F56" s="109"/>
      <x:c r="G56" s="109"/>
      <x:c r="H56" s="109"/>
      <x:c r="I56" s="109"/>
      <x:c r="J56" s="109"/>
    </x:row>
    <x:row r="57" ht="18" customHeight="1"/>
    <x:row r="58" ht="18" customHeight="1">
      <x:c r="A58" s="18" t="str">
        <x:v>DADOS DA LUMINÁRIA</x:v>
      </x:c>
      <x:c r="B58" s="20"/>
    </x:row>
    <x:row r="59" ht="18" customHeight="1">
      <x:c r="A59" s="61" t="str">
        <x:v>MODELO</x:v>
      </x:c>
      <x:c r="B59" s="63" t="str">
        <x:v>TMS 426 - 2 x 40 W</x:v>
      </x:c>
    </x:row>
    <x:row r="60" ht="18" customHeight="1">
      <x:c r="A60" s="64" t="str">
        <x:v>FABRICANTE</x:v>
      </x:c>
      <x:c r="B60" s="66" t="str">
        <x:v>Philips</x:v>
      </x:c>
    </x:row>
    <x:row r="61" ht="18" customHeight="1">
      <x:c r="A61" s="67" t="str">
        <x:v>APLICAÇÃO</x:v>
      </x:c>
      <x:c r="B61" s="69" t="str">
        <x:v>Ambientes internos de baixo pé-direito</x:v>
      </x:c>
    </x:row>
    <x:row r="62" ht="18" customHeight="1"/>
    <x:row r="63" ht="18" customHeight="1">
      <x:c r="A63" s="18" t="str">
        <x:v>DADOS DA LÂMPADA</x:v>
      </x:c>
      <x:c r="B63" s="20"/>
    </x:row>
    <x:row r="64" ht="18" customHeight="1">
      <x:c r="A64" s="61" t="str">
        <x:v>MODELO</x:v>
      </x:c>
      <x:c r="B64" s="63" t="str">
        <x:v>FLUORESCENTE COMUM</x:v>
      </x:c>
    </x:row>
    <x:row r="65" ht="18" customHeight="1">
      <x:c r="A65" s="64" t="str">
        <x:v>TIPO</x:v>
      </x:c>
      <x:c r="B65" s="66" t="str">
        <x:v>FLUORESCENTE</x:v>
      </x:c>
    </x:row>
    <x:row r="66" ht="18" customHeight="1">
      <x:c r="A66" s="64" t="str">
        <x:v>POTÊNCIA [W]</x:v>
      </x:c>
      <x:c r="B66" s="66" t="n">
        <x:v>40</x:v>
      </x:c>
    </x:row>
    <x:row r="67" ht="18" customHeight="1">
      <x:c r="A67" s="64" t="str">
        <x:v>FLUXO LUMINOSO [lm]</x:v>
      </x:c>
      <x:c r="B67" s="66" t="n">
        <x:v>3000</x:v>
      </x:c>
    </x:row>
    <x:row r="68" ht="18" customHeight="1">
      <x:c r="A68" s="67" t="str">
        <x:v>LÂMPADAS POR LUMINÁRIA</x:v>
      </x:c>
      <x:c r="B68" s="69" t="n">
        <x:v>2</x:v>
      </x:c>
    </x:row>
    <x:row r="69" ht="18" customHeight="1"/>
    <x:row r="70" ht="18" customHeight="1">
      <x:c r="A70" s="18" t="str">
        <x:v>DADOS DO REATOR</x:v>
      </x:c>
      <x:c r="B70" s="20"/>
    </x:row>
    <x:row r="71" ht="18" customHeight="1">
      <x:c r="A71" s="61" t="str">
        <x:v>CONFIGURAÇÃO</x:v>
      </x:c>
      <x:c r="B71" s="63" t="str">
        <x:v>DUPLO 2 x 40 W</x:v>
      </x:c>
    </x:row>
    <x:row r="72" ht="18" customHeight="1">
      <x:c r="A72" s="64" t="str">
        <x:v>TENSÃO [V]</x:v>
      </x:c>
      <x:c r="B72" s="66" t="n">
        <x:v>220</x:v>
      </x:c>
    </x:row>
    <x:row r="73" ht="18" customHeight="1">
      <x:c r="A73" s="64" t="str">
        <x:v>CORRENTE DE CATÁLOGO [A]</x:v>
      </x:c>
      <x:c r="B73" s="66" t="n">
        <x:v>0.51</x:v>
      </x:c>
    </x:row>
    <x:row r="74" ht="18" customHeight="1">
      <x:c r="A74" s="64" t="str">
        <x:v>FATOR DE POTÊNCIA</x:v>
      </x:c>
      <x:c r="B74" s="66" t="n">
        <x:v>0.9</x:v>
      </x:c>
    </x:row>
    <x:row r="75" ht="18" customHeight="1">
      <x:c r="A75" s="67" t="str">
        <x:v>PERDAS POR LUMINÁRIA [W]</x:v>
      </x:c>
      <x:c r="B75" s="69" t="n">
        <x:v>24.1</x:v>
      </x:c>
    </x:row>
    <x:row r="76" ht="18" customHeight="1"/>
    <x:row r="77" ht="18" customHeight="1">
      <x:c r="A77" s="109" t="str">
        <x:v>FATOR DE UTILIZAÇÃO Fu</x:v>
      </x:c>
      <x:c r="B77" s="109"/>
      <x:c r="C77" s="109"/>
      <x:c r="D77" s="109"/>
      <x:c r="E77" s="109"/>
      <x:c r="F77" s="109"/>
      <x:c r="G77" s="109"/>
      <x:c r="H77" s="109"/>
      <x:c r="I77" s="109"/>
      <x:c r="J77" s="109"/>
    </x:row>
    <x:row r="78" ht="18" customHeight="1">
      <x:c r="A78" s="116" t="str">
        <x:v>Correção principal: no material de Mamede, teto "CLARO" = 50% e "BRANCO" = 70%. Para parede BEGE, adota-se 35% dentro da faixa 35–40%, usando a condição mais crítica.</x:v>
      </x:c>
      <x:c r="B78" s="116"/>
      <x:c r="C78" s="116"/>
      <x:c r="D78" s="116"/>
      <x:c r="E78" s="116"/>
      <x:c r="F78" s="116"/>
      <x:c r="G78" s="116"/>
      <x:c r="H78" s="116"/>
      <x:c r="I78" s="116"/>
      <x:c r="J78" s="116"/>
    </x:row>
    <x:row r="79" ht="18" customHeight="1"/>
    <x:row r="80" ht="18" customHeight="1">
      <x:c r="A80" s="18" t="str">
        <x:v>REFLETÂNCIAS ADOTADAS</x:v>
      </x:c>
      <x:c r="B80" s="20"/>
    </x:row>
    <x:row r="81" ht="18" customHeight="1">
      <x:c r="A81" s="18" t="str">
        <x:v>AMBIENTE</x:v>
      </x:c>
      <x:c r="B81" s="19" t="str">
        <x:v>TETO INFORMADO</x:v>
      </x:c>
      <x:c r="C81" s="19" t="str">
        <x:v>TETO [%]</x:v>
      </x:c>
      <x:c r="D81" s="19" t="str">
        <x:v>PAREDE INFORMADA</x:v>
      </x:c>
      <x:c r="E81" s="19" t="str">
        <x:v>PAREDE [%]</x:v>
      </x:c>
      <x:c r="F81" s="19" t="str">
        <x:v>PISO INFORMADO</x:v>
      </x:c>
      <x:c r="G81" s="19" t="str">
        <x:v>PISO [%] NA TABELA Fu</x:v>
      </x:c>
      <x:c r="H81" s="20" t="str">
        <x:v>CRITÉRIO</x:v>
      </x:c>
    </x:row>
    <x:row r="82" ht="18" customHeight="1">
      <x:c r="A82" s="61" t="str">
        <x:f>A3</x:f>
        <x:v>SAÍDA DE PRODUTOS (SALA DE PRODUTOS)</x:v>
      </x:c>
      <x:c r="B82" s="62" t="str">
        <x:f>G3</x:f>
        <x:v>CLARO</x:v>
      </x:c>
      <x:c r="C82" s="62" t="n">
        <x:f>IF(B82="BRANCO",70,IF(B82="CLARO",50,30))</x:f>
        <x:v>50</x:v>
      </x:c>
      <x:c r="D82" s="62" t="str">
        <x:f>H3</x:f>
        <x:v>CLARA</x:v>
      </x:c>
      <x:c r="E82" s="62" t="n">
        <x:f>IF(OR(D82="BRANCA",D82="CLARA"),50,30)</x:f>
        <x:v>50</x:v>
      </x:c>
      <x:c r="F82" s="62" t="str">
        <x:f>I3</x:f>
        <x:v>AZULEJO CINZA</x:v>
      </x:c>
      <x:c r="G82" s="62" t="n">
        <x:v>10</x:v>
      </x:c>
      <x:c r="H82" s="63" t="str">
        <x:v>Tabela TMS 426 publicada para piso 10%</x:v>
      </x:c>
    </x:row>
    <x:row r="83" ht="18" customHeight="1">
      <x:c r="A83" s="64" t="str">
        <x:f>A4</x:f>
        <x:v>CONTROLE DE QUALIDADE</x:v>
      </x:c>
      <x:c r="B83" s="65" t="str">
        <x:f>G4</x:f>
        <x:v>BRANCO</x:v>
      </x:c>
      <x:c r="C83" s="65" t="n">
        <x:f>IF(B83="BRANCO",70,IF(B83="CLARO",50,30))</x:f>
        <x:v>70</x:v>
      </x:c>
      <x:c r="D83" s="65" t="str">
        <x:f>H4</x:f>
        <x:v>BRANCA</x:v>
      </x:c>
      <x:c r="E83" s="65" t="n">
        <x:f>IF(OR(D83="BRANCA",D83="CLARA"),50,30)</x:f>
        <x:v>50</x:v>
      </x:c>
      <x:c r="F83" s="65" t="str">
        <x:f>I4</x:f>
        <x:v>AZULEJO CINZA</x:v>
      </x:c>
      <x:c r="G83" s="65" t="n">
        <x:v>10</x:v>
      </x:c>
      <x:c r="H83" s="66" t="str">
        <x:v>Tabela TMS 426 publicada para piso 10%</x:v>
      </x:c>
    </x:row>
    <x:row r="84" ht="18" customHeight="1">
      <x:c r="A84" s="64" t="str">
        <x:f>A5</x:f>
        <x:v>BANHEIRO (VESTUÁRIO)</x:v>
      </x:c>
      <x:c r="B84" s="65" t="str">
        <x:f>G5</x:f>
        <x:v>CLARO</x:v>
      </x:c>
      <x:c r="C84" s="65" t="n">
        <x:f>IF(B84="BRANCO",70,IF(B84="CLARO",50,30))</x:f>
        <x:v>50</x:v>
      </x:c>
      <x:c r="D84" s="65" t="str">
        <x:f>H5</x:f>
        <x:v>CLARA</x:v>
      </x:c>
      <x:c r="E84" s="65" t="n">
        <x:f>IF(OR(D84="BRANCA",D84="CLARA"),50,30)</x:f>
        <x:v>50</x:v>
      </x:c>
      <x:c r="F84" s="65" t="str">
        <x:f>I5</x:f>
        <x:v>AZULEJO CINZA</x:v>
      </x:c>
      <x:c r="G84" s="65" t="n">
        <x:v>10</x:v>
      </x:c>
      <x:c r="H84" s="66" t="str">
        <x:v>Tabela TMS 426 publicada para piso 10%</x:v>
      </x:c>
    </x:row>
    <x:row r="85" ht="18" customHeight="1">
      <x:c r="A85" s="67" t="str">
        <x:f>A6</x:f>
        <x:v>ESCRITÓRIO</x:v>
      </x:c>
      <x:c r="B85" s="68" t="str">
        <x:f>G6</x:f>
        <x:v>BRANCO</x:v>
      </x:c>
      <x:c r="C85" s="68" t="n">
        <x:f>IF(B85="BRANCO",70,IF(B85="CLARO",50,30))</x:f>
        <x:v>70</x:v>
      </x:c>
      <x:c r="D85" s="68" t="str">
        <x:f>H6</x:f>
        <x:v>BEGE</x:v>
      </x:c>
      <x:c r="E85" s="68" t="n">
        <x:v>35</x:v>
      </x:c>
      <x:c r="F85" s="68" t="str">
        <x:f>I6</x:f>
        <x:v>AZULEJO CINZA</x:v>
      </x:c>
      <x:c r="G85" s="68" t="n">
        <x:v>10</x:v>
      </x:c>
      <x:c r="H85" s="69" t="str">
        <x:v>BEGE 35–40%; adotado 35% (mais crítico)</x:v>
      </x:c>
    </x:row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>
      <x:c r="A101" s="18" t="str">
        <x:v>ÍNDICE DO RECINTO K E INTERPOLAÇÃO DE Fu</x:v>
      </x:c>
      <x:c r="B101" s="20"/>
    </x:row>
    <x:row r="102" ht="18" customHeight="1">
      <x:c r="A102" s="18" t="str">
        <x:v>AMBIENTE</x:v>
      </x:c>
      <x:c r="B102" s="19" t="str">
        <x:v>L [m]</x:v>
      </x:c>
      <x:c r="C102" s="19" t="str">
        <x:v>C [m]</x:v>
      </x:c>
      <x:c r="D102" s="19" t="str">
        <x:v>Hlp [m]</x:v>
      </x:c>
      <x:c r="E102" s="19" t="str">
        <x:v>K</x:v>
      </x:c>
      <x:c r="F102" s="19" t="str">
        <x:v>TETO [%]</x:v>
      </x:c>
      <x:c r="G102" s="19" t="str">
        <x:v>PAREDE [%]</x:v>
      </x:c>
      <x:c r="H102" s="19" t="str">
        <x:v>Fu</x:v>
      </x:c>
      <x:c r="I102" s="20" t="str">
        <x:v>INTERPOLAÇÃO UTILIZADA</x:v>
      </x:c>
    </x:row>
    <x:row r="103" ht="18" customHeight="1">
      <x:c r="A103" s="61" t="str">
        <x:f>A3</x:f>
        <x:v>SAÍDA DE PRODUTOS (SALA DE PRODUTOS)</x:v>
      </x:c>
      <x:c r="B103" s="62" t="n">
        <x:f>B3</x:f>
        <x:v>5</x:v>
      </x:c>
      <x:c r="C103" s="62" t="n">
        <x:f>C3</x:f>
        <x:v>6</x:v>
      </x:c>
      <x:c r="D103" s="62" t="n">
        <x:f>F3</x:f>
        <x:v>2.2</x:v>
      </x:c>
      <x:c r="E103" s="122" t="n">
        <x:f>(B103*C103)/(D103*(B103+C103))</x:f>
        <x:v>1.2396694214876032</x:v>
      </x:c>
      <x:c r="F103" s="122" t="n">
        <x:f>C82</x:f>
        <x:v>50</x:v>
      </x:c>
      <x:c r="G103" s="122" t="n">
        <x:f>E82</x:f>
        <x:v>50</x:v>
      </x:c>
      <x:c r="H103" s="122" t="n">
        <x:f>0.44+(E103-1)/(1.25-1)*(0.49-0.44)</x:f>
        <x:v>0.4879338842975206</x:v>
      </x:c>
      <x:c r="I103" s="63" t="str">
        <x:v>50/50: K 1,00→1,25 | Fu 0,44→0,49</x:v>
      </x:c>
    </x:row>
    <x:row r="104" ht="18" customHeight="1">
      <x:c r="A104" s="64" t="str">
        <x:f>A4</x:f>
        <x:v>CONTROLE DE QUALIDADE</x:v>
      </x:c>
      <x:c r="B104" s="65" t="n">
        <x:f>B4</x:f>
        <x:v>5</x:v>
      </x:c>
      <x:c r="C104" s="65" t="n">
        <x:f>C4</x:f>
        <x:v>6</x:v>
      </x:c>
      <x:c r="D104" s="65" t="n">
        <x:f>F4</x:f>
        <x:v>2.2</x:v>
      </x:c>
      <x:c r="E104" s="123" t="n">
        <x:f>(B104*C104)/(D104*(B104+C104))</x:f>
        <x:v>1.2396694214876032</x:v>
      </x:c>
      <x:c r="F104" s="123" t="n">
        <x:f>C83</x:f>
        <x:v>70</x:v>
      </x:c>
      <x:c r="G104" s="123" t="n">
        <x:f>E83</x:f>
        <x:v>50</x:v>
      </x:c>
      <x:c r="H104" s="123" t="n">
        <x:f>0.50+(E104-1)/(1.25-1)*(0.56-0.50)</x:f>
        <x:v>0.5575206611570248</x:v>
      </x:c>
      <x:c r="I104" s="66" t="str">
        <x:v>70/50: K 1,00→1,25 | Fu 0,50→0,56</x:v>
      </x:c>
    </x:row>
    <x:row r="105" ht="18" customHeight="1">
      <x:c r="A105" s="64" t="str">
        <x:f>A5</x:f>
        <x:v>BANHEIRO (VESTUÁRIO)</x:v>
      </x:c>
      <x:c r="B105" s="65" t="n">
        <x:f>B5</x:f>
        <x:v>5.23</x:v>
      </x:c>
      <x:c r="C105" s="65" t="n">
        <x:f>C5</x:f>
        <x:v>3.5</x:v>
      </x:c>
      <x:c r="D105" s="65" t="n">
        <x:f>F5</x:f>
        <x:v>2.2</x:v>
      </x:c>
      <x:c r="E105" s="123" t="n">
        <x:f>(B105*C105)/(D105*(B105+C105))</x:f>
        <x:v>0.9530875767989169</x:v>
      </x:c>
      <x:c r="F105" s="123" t="n">
        <x:f>C84</x:f>
        <x:v>50</x:v>
      </x:c>
      <x:c r="G105" s="123" t="n">
        <x:f>E84</x:f>
        <x:v>50</x:v>
      </x:c>
      <x:c r="H105" s="123" t="n">
        <x:f>0.38+(E105-0.8)/(1-0.8)*(0.44-0.38)</x:f>
        <x:v>0.42592627303967506</x:v>
      </x:c>
      <x:c r="I105" s="66" t="str">
        <x:v>50/50: K 0,80→1,00 | Fu 0,38→0,44</x:v>
      </x:c>
    </x:row>
    <x:row r="106" ht="18" customHeight="1">
      <x:c r="A106" s="67" t="str">
        <x:f>A6</x:f>
        <x:v>ESCRITÓRIO</x:v>
      </x:c>
      <x:c r="B106" s="68" t="n">
        <x:f>B6</x:f>
        <x:v>8.12</x:v>
      </x:c>
      <x:c r="C106" s="68" t="n">
        <x:f>C6</x:f>
        <x:v>6</x:v>
      </x:c>
      <x:c r="D106" s="68" t="n">
        <x:f>F6</x:f>
        <x:v>2.2</x:v>
      </x:c>
      <x:c r="E106" s="124" t="n">
        <x:f>(B106*C106)/(D106*(B106+C106))</x:f>
        <x:v>1.5683749678083956</x:v>
      </x:c>
      <x:c r="F106" s="124" t="n">
        <x:f>C85</x:f>
        <x:v>70</x:v>
      </x:c>
      <x:c r="G106" s="124" t="n">
        <x:f>E85</x:f>
        <x:v>35</x:v>
      </x:c>
      <x:c r="H106" s="124" t="n">
        <x:f>(0.54+(E106-1.5)/(2-1.5)*(0.61-0.54))+((G106-30)/20)*((0.61+(E106-1.5)/(2-1.5)*(0.68-0.61))-(0.54+(E106-1.5)/(2-1.5)*(0.61-0.54)))</x:f>
        <x:v>0.5670724954931754</x:v>
      </x:c>
      <x:c r="I106" s="69" t="str">
        <x:v>70/30 ↔ 70/50; parede 35%; K 1,50→2,00</x:v>
      </x:c>
    </x:row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22" customHeight="1">
      <x:c r="A119" s="160" t="str">
        <x:v>FATOR DE DEPRECIAÇÃO Fdl</x:v>
      </x:c>
      <x:c r="B119" s="160"/>
      <x:c r="C119" s="160"/>
      <x:c r="D119" s="160"/>
      <x:c r="E119" s="160"/>
      <x:c r="F119" s="160"/>
      <x:c r="G119" s="160"/>
      <x:c r="H119" s="160"/>
      <x:c r="I119" s="160"/>
      <x:c r="J119" s="160"/>
    </x:row>
    <x:row r="120" ht="18" customHeight="1">
      <x:c r="A120" s="161" t="str">
        <x:v>TIPO DA LUMINÁRIA</x:v>
      </x:c>
      <x:c r="B120" s="162" t="str">
        <x:v>LUMINÁRIA COMERCIAL</x:v>
      </x:c>
    </x:row>
    <x:row r="121" ht="18" customHeight="1">
      <x:c r="A121" s="163" t="str">
        <x:v>Fdl ADOTADO</x:v>
      </x:c>
      <x:c r="B121" s="164" t="n">
        <x:v>0.75</x:v>
      </x:c>
    </x:row>
    <x:row r="122" ht="18" customHeight="1">
      <x:c r="A122" s="163" t="str">
        <x:v>FONTE</x:v>
      </x:c>
      <x:c r="B122" s="164" t="str">
        <x:v>Tabela 2.9 - Mamede</x:v>
      </x:c>
    </x:row>
    <x:row r="123" ht="18" customHeight="1">
      <x:c r="A123" s="116"/>
      <x:c r="B123" s="116"/>
      <x:c r="C123" s="116"/>
      <x:c r="D123" s="116"/>
      <x:c r="E123" s="116"/>
      <x:c r="F123" s="116"/>
      <x:c r="G123" s="116"/>
      <x:c r="H123" s="116"/>
      <x:c r="I123" s="116"/>
      <x:c r="J123" s="116"/>
    </x:row>
    <x:row r="124" ht="18" customHeight="1">
      <x:c r="A124" s="116" t="str">
        <x:v>O valor 0,75 é o valor tabelado para luminária comercial. Portanto, nesta solução não é necessário estimar Fdl pelo gráfico de manutenção; usa-se diretamente a classificação do aparelho.</x:v>
      </x:c>
      <x:c r="B124" s="116"/>
      <x:c r="C124" s="116"/>
      <x:c r="D124" s="116"/>
      <x:c r="E124" s="116"/>
      <x:c r="F124" s="116"/>
      <x:c r="G124" s="116"/>
      <x:c r="H124" s="116"/>
      <x:c r="I124" s="116"/>
      <x:c r="J124" s="116"/>
    </x:row>
    <x:row r="125" ht="18" customHeight="1">
      <x:c r="A125" s="109"/>
      <x:c r="B125" s="109"/>
      <x:c r="C125" s="109"/>
      <x:c r="D125" s="109"/>
      <x:c r="E125" s="109"/>
      <x:c r="F125" s="109"/>
      <x:c r="G125" s="109"/>
      <x:c r="H125" s="109"/>
      <x:c r="I125" s="109"/>
      <x:c r="J125" s="109"/>
    </x:row>
    <x:row r="126" ht="18" customHeight="1">
      <x:c r="A126" s="18"/>
      <x:c r="B126" s="19"/>
      <x:c r="C126" s="19"/>
      <x:c r="D126" s="19"/>
      <x:c r="E126" s="19"/>
      <x:c r="F126" s="19"/>
      <x:c r="G126" s="19"/>
      <x:c r="H126" s="19"/>
      <x:c r="I126" s="19"/>
      <x:c r="J126" s="20"/>
    </x:row>
    <x:row r="127" ht="18" customHeight="1">
      <x:c r="A127" s="61"/>
      <x:c r="B127" s="128"/>
      <x:c r="C127" s="128"/>
      <x:c r="D127" s="128"/>
      <x:c r="E127" s="128"/>
      <x:c r="F127" s="128"/>
      <x:c r="G127" s="128"/>
      <x:c r="H127" s="128"/>
      <x:c r="I127" s="128"/>
      <x:c r="J127" s="63"/>
    </x:row>
    <x:row r="128" ht="18" customHeight="1">
      <x:c r="A128" s="64"/>
      <x:c r="B128" s="129"/>
      <x:c r="C128" s="129"/>
      <x:c r="D128" s="129"/>
      <x:c r="E128" s="129"/>
      <x:c r="F128" s="129"/>
      <x:c r="G128" s="129"/>
      <x:c r="H128" s="129"/>
      <x:c r="I128" s="129"/>
      <x:c r="J128" s="66"/>
    </x:row>
    <x:row r="129" ht="18" customHeight="1">
      <x:c r="A129" s="64"/>
      <x:c r="B129" s="129"/>
      <x:c r="C129" s="129"/>
      <x:c r="D129" s="129"/>
      <x:c r="E129" s="129"/>
      <x:c r="F129" s="129"/>
      <x:c r="G129" s="129"/>
      <x:c r="H129" s="129"/>
      <x:c r="I129" s="129"/>
      <x:c r="J129" s="66"/>
    </x:row>
    <x:row r="130" ht="18" customHeight="1">
      <x:c r="A130" s="67"/>
      <x:c r="B130" s="130"/>
      <x:c r="C130" s="130"/>
      <x:c r="D130" s="130"/>
      <x:c r="E130" s="130"/>
      <x:c r="F130" s="130"/>
      <x:c r="G130" s="130"/>
      <x:c r="H130" s="130"/>
      <x:c r="I130" s="130"/>
      <x:c r="J130" s="69"/>
    </x:row>
    <x:row r="131" ht="18" customHeight="1"/>
    <x:row r="132" ht="18" customHeight="1">
      <x:c r="A132" s="18"/>
      <x:c r="B132" s="20"/>
    </x:row>
    <x:row r="133" ht="18" customHeight="1">
      <x:c r="A133" s="18"/>
      <x:c r="B133" s="19"/>
      <x:c r="C133" s="19"/>
      <x:c r="D133" s="19"/>
      <x:c r="E133" s="19"/>
      <x:c r="F133" s="19"/>
      <x:c r="G133" s="19"/>
      <x:c r="H133" s="20"/>
    </x:row>
    <x:row r="134" ht="18" customHeight="1">
      <x:c r="A134" s="61"/>
      <x:c r="B134" s="62"/>
      <x:c r="C134" s="62"/>
      <x:c r="D134" s="62"/>
      <x:c r="E134" s="62"/>
      <x:c r="F134" s="62"/>
      <x:c r="G134" s="62"/>
      <x:c r="H134" s="63"/>
    </x:row>
    <x:row r="135" ht="18" customHeight="1">
      <x:c r="A135" s="64"/>
      <x:c r="B135" s="65"/>
      <x:c r="C135" s="65"/>
      <x:c r="D135" s="65"/>
      <x:c r="E135" s="65"/>
      <x:c r="F135" s="65"/>
      <x:c r="G135" s="65"/>
      <x:c r="H135" s="66"/>
    </x:row>
    <x:row r="136" ht="22" customHeight="1">
      <x:c r="A136" s="177" t="str">
        <x:v>FLUXO TOTAL LUMINOSO</x:v>
      </x:c>
      <x:c r="B136" s="178"/>
      <x:c r="C136" s="178"/>
      <x:c r="D136" s="178"/>
      <x:c r="E136" s="178"/>
      <x:c r="F136" s="178"/>
      <x:c r="G136" s="178"/>
      <x:c r="H136" s="179"/>
      <x:c r="I136" s="160"/>
      <x:c r="J136" s="160"/>
    </x:row>
    <x:row r="137" ht="18" customHeight="1">
      <x:c r="A137" s="67" t="str">
        <x:v>Fluxo requerido: Φt = E × S / (Fu × Fdl). Todos os termos utilizados aparecem acima na planilha.</x:v>
      </x:c>
      <x:c r="B137" s="68"/>
      <x:c r="C137" s="68"/>
      <x:c r="D137" s="68"/>
      <x:c r="E137" s="68"/>
      <x:c r="F137" s="68"/>
      <x:c r="G137" s="68"/>
      <x:c r="H137" s="69"/>
    </x:row>
    <x:row r="138" ht="18" customHeight="1"/>
    <x:row r="139" ht="18" customHeight="1">
      <x:c r="A139" s="18"/>
      <x:c r="B139" s="20"/>
    </x:row>
    <x:row r="140" ht="18" customHeight="1">
      <x:c r="A140" s="18"/>
      <x:c r="B140" s="19"/>
      <x:c r="C140" s="19"/>
      <x:c r="D140" s="19"/>
      <x:c r="E140" s="19"/>
      <x:c r="F140" s="20"/>
    </x:row>
    <x:row r="141" ht="18" customHeight="1">
      <x:c r="A141" s="61"/>
      <x:c r="B141" s="62"/>
      <x:c r="C141" s="62"/>
      <x:c r="D141" s="62"/>
      <x:c r="E141" s="62"/>
      <x:c r="F141" s="63"/>
    </x:row>
    <x:row r="142" ht="18" customHeight="1">
      <x:c r="A142" s="64"/>
      <x:c r="B142" s="65"/>
      <x:c r="C142" s="65"/>
      <x:c r="D142" s="65"/>
      <x:c r="E142" s="65"/>
      <x:c r="F142" s="66"/>
    </x:row>
    <x:row r="143" ht="18" customHeight="1">
      <x:c r="A143" s="64"/>
      <x:c r="B143" s="65"/>
      <x:c r="C143" s="65"/>
      <x:c r="D143" s="65"/>
      <x:c r="E143" s="65"/>
      <x:c r="F143" s="66"/>
    </x:row>
    <x:row r="144" ht="18" customHeight="1">
      <x:c r="A144" s="186" t="str">
        <x:v>AMBIENTE</x:v>
      </x:c>
      <x:c r="B144" s="187" t="str">
        <x:v>E [lux]</x:v>
      </x:c>
      <x:c r="C144" s="187" t="str">
        <x:v>ÁREA [m²]</x:v>
      </x:c>
      <x:c r="D144" s="187" t="str">
        <x:v>Fu</x:v>
      </x:c>
      <x:c r="E144" s="187" t="str">
        <x:v>Fdl</x:v>
      </x:c>
      <x:c r="F144" s="188" t="str">
        <x:v>Φt [lm]</x:v>
      </x:c>
    </x:row>
    <x:row r="145" ht="18" customHeight="1">
      <x:c r="A145" s="161" t="str">
        <x:f>A3</x:f>
        <x:v>SAÍDA DE PRODUTOS (SALA DE PRODUTOS)</x:v>
      </x:c>
      <x:c r="B145" s="224" t="n">
        <x:f>J22</x:f>
        <x:v>200</x:v>
      </x:c>
      <x:c r="C145" s="224" t="n">
        <x:f>B3*C3</x:f>
        <x:v>30</x:v>
      </x:c>
      <x:c r="D145" s="224" t="n">
        <x:f>H103</x:f>
        <x:v>0.4879338842975206</x:v>
      </x:c>
      <x:c r="E145" s="224" t="n">
        <x:f>$B$121</x:f>
        <x:v>0.75</x:v>
      </x:c>
      <x:c r="F145" s="225" t="n">
        <x:f>B145*C145/(D145*E145)</x:f>
        <x:v>16395.663956639568</x:v>
      </x:c>
    </x:row>
    <x:row r="146" ht="18" customHeight="1">
      <x:c r="A146" s="206" t="str">
        <x:f>A4</x:f>
        <x:v>CONTROLE DE QUALIDADE</x:v>
      </x:c>
      <x:c r="B146" s="226" t="n">
        <x:f>J23</x:f>
        <x:v>1500</x:v>
      </x:c>
      <x:c r="C146" s="226" t="n">
        <x:f>B4*C4</x:f>
        <x:v>30</x:v>
      </x:c>
      <x:c r="D146" s="226" t="n">
        <x:f>H104</x:f>
        <x:v>0.5575206611570248</x:v>
      </x:c>
      <x:c r="E146" s="226" t="n">
        <x:f>$B$121</x:f>
        <x:v>0.75</x:v>
      </x:c>
      <x:c r="F146" s="227" t="n">
        <x:f>B146*C146/(D146*E146)</x:f>
        <x:v>107619.32997331752</x:v>
      </x:c>
      <x:c r="G146" s="109"/>
      <x:c r="H146" s="109"/>
      <x:c r="I146" s="109"/>
      <x:c r="J146" s="109"/>
    </x:row>
    <x:row r="147" ht="18" customHeight="1">
      <x:c r="A147" s="186" t="str">
        <x:f>A5</x:f>
        <x:v>BANHEIRO (VESTUÁRIO)</x:v>
      </x:c>
      <x:c r="B147" s="228" t="n">
        <x:f>J24</x:f>
        <x:v>200</x:v>
      </x:c>
      <x:c r="C147" s="228" t="n">
        <x:f>B5*C5</x:f>
        <x:v>18.305</x:v>
      </x:c>
      <x:c r="D147" s="229" t="n">
        <x:f>H105</x:f>
        <x:v>0.42592627303967506</x:v>
      </x:c>
      <x:c r="E147" s="230" t="n">
        <x:f>$B$121</x:f>
        <x:v>0.75</x:v>
      </x:c>
      <x:c r="F147" s="231" t="n">
        <x:f>B147*C147/(D147*E147)</x:f>
        <x:v>11460.512399240131</x:v>
      </x:c>
    </x:row>
    <x:row r="148" ht="18" customHeight="1">
      <x:c r="A148" s="217" t="str">
        <x:f>A6</x:f>
        <x:v>ESCRITÓRIO</x:v>
      </x:c>
      <x:c r="B148" s="232" t="n">
        <x:f>J25</x:f>
        <x:v>750</x:v>
      </x:c>
      <x:c r="C148" s="232" t="n">
        <x:f>B6*C6</x:f>
        <x:v>48.72</x:v>
      </x:c>
      <x:c r="D148" s="233" t="n">
        <x:f>H106</x:f>
        <x:v>0.5670724954931754</x:v>
      </x:c>
      <x:c r="E148" s="234" t="n">
        <x:f>$B$121</x:f>
        <x:v>0.75</x:v>
      </x:c>
      <x:c r="F148" s="235" t="n">
        <x:f>B148*C148/(D148*E148)</x:f>
        <x:v>85914.94101231072</x:v>
      </x:c>
    </x:row>
    <x:row r="149" ht="18" customHeight="1">
      <x:c r="A149" s="142"/>
      <x:c r="B149" s="143"/>
      <x:c r="C149" s="143"/>
      <x:c r="D149" s="144"/>
    </x:row>
    <x:row r="150" ht="22" customHeight="1">
      <x:c r="A150" s="242" t="str">
        <x:v>NÚMERO DE LUMINÁRIAS</x:v>
      </x:c>
      <x:c r="B150" s="243"/>
      <x:c r="C150" s="243"/>
      <x:c r="D150" s="244"/>
      <x:c r="E150" s="160"/>
      <x:c r="F150" s="160"/>
      <x:c r="G150" s="160"/>
      <x:c r="H150" s="160"/>
      <x:c r="I150" s="160"/>
      <x:c r="J150" s="160"/>
    </x:row>
    <x:row r="151" ht="18" customHeight="1">
      <x:c r="A151" s="142" t="str">
        <x:v>Nlu = Φt / (fluxo por lâmpada × número de lâmpadas por luminária). O valor calculado é arredondado para cima e depois verificado para permitir uma distribuição regular.</x:v>
      </x:c>
      <x:c r="B151" s="143"/>
      <x:c r="C151" s="143"/>
      <x:c r="D151" s="144"/>
    </x:row>
    <x:row r="152" ht="18" customHeight="1">
      <x:c r="A152" s="142"/>
      <x:c r="B152" s="143"/>
      <x:c r="C152" s="143"/>
      <x:c r="D152" s="144"/>
    </x:row>
    <x:row r="153" ht="18" customHeight="1">
      <x:c r="A153" s="142"/>
      <x:c r="B153" s="143"/>
      <x:c r="C153" s="143"/>
      <x:c r="D153" s="144"/>
    </x:row>
    <x:row r="154" ht="18" customHeight="1"/>
    <x:row r="155" ht="18" customHeight="1"/>
    <x:row r="156" ht="18" customHeight="1">
      <x:c r="A156" s="109"/>
      <x:c r="B156" s="109"/>
      <x:c r="C156" s="109"/>
      <x:c r="D156" s="109"/>
      <x:c r="E156" s="109"/>
      <x:c r="F156" s="109"/>
      <x:c r="G156" s="109"/>
      <x:c r="H156" s="109"/>
      <x:c r="I156" s="109"/>
      <x:c r="J156" s="109"/>
    </x:row>
    <x:row r="157" ht="18" customHeight="1">
      <x:c r="A157" s="186" t="str">
        <x:v>AMBIENTE</x:v>
      </x:c>
      <x:c r="B157" s="188" t="str">
        <x:v>Φt [lm]</x:v>
      </x:c>
      <x:c r="C157" s="187" t="str">
        <x:v>FLUXO/LÂMPADA [lm]</x:v>
      </x:c>
      <x:c r="D157" s="187" t="str">
        <x:v>LÂMPADAS/LUMINÁRIA</x:v>
      </x:c>
      <x:c r="E157" s="187" t="str">
        <x:v>Nlu TEÓRICO</x:v>
      </x:c>
      <x:c r="F157" s="187" t="str">
        <x:v>Nlu ≥</x:v>
      </x:c>
      <x:c r="G157" s="187" t="str">
        <x:v>GRADE ADOTADA</x:v>
      </x:c>
      <x:c r="H157" s="188" t="str">
        <x:v>Nlu ADOTADO</x:v>
      </x:c>
    </x:row>
    <x:row r="158" ht="18" customHeight="1">
      <x:c r="A158" s="161" t="str">
        <x:f>A145</x:f>
        <x:v>SAÍDA DE PRODUTOS (SALA DE PRODUTOS)</x:v>
      </x:c>
      <x:c r="B158" s="225" t="n">
        <x:f>F145</x:f>
        <x:v>16395.663956639568</x:v>
      </x:c>
      <x:c r="C158" s="224" t="n">
        <x:f>$B$67</x:f>
        <x:v>3000</x:v>
      </x:c>
      <x:c r="D158" s="224" t="n">
        <x:f>$B$68</x:f>
        <x:v>2</x:v>
      </x:c>
      <x:c r="E158" s="224" t="n">
        <x:f>B158/(C158*D158)</x:f>
        <x:v>2.732610659439928</x:v>
      </x:c>
      <x:c r="F158" s="224" t="n">
        <x:f>ROUNDUP(E158,0)</x:f>
        <x:v>3</x:v>
      </x:c>
      <x:c r="G158" s="221" t="str">
        <x:v>3 x 1</x:v>
      </x:c>
      <x:c r="H158" s="162" t="n">
        <x:v>3</x:v>
      </x:c>
    </x:row>
    <x:row r="159" ht="18" customHeight="1">
      <x:c r="A159" s="255" t="str">
        <x:f>A146</x:f>
        <x:v>CONTROLE DE QUALIDADE</x:v>
      </x:c>
      <x:c r="B159" s="231" t="n">
        <x:f>F146</x:f>
        <x:v>107619.32997331752</x:v>
      </x:c>
      <x:c r="C159" s="230" t="n">
        <x:f>$B$67</x:f>
        <x:v>3000</x:v>
      </x:c>
      <x:c r="D159" s="230" t="n">
        <x:f>$B$68</x:f>
        <x:v>2</x:v>
      </x:c>
      <x:c r="E159" s="230" t="n">
        <x:f>B159/(C159*D159)</x:f>
        <x:v>17.93655499555292</x:v>
      </x:c>
      <x:c r="F159" s="230" t="n">
        <x:f>ROUNDUP(E159,0)</x:f>
        <x:v>18</x:v>
      </x:c>
      <x:c r="G159" s="222" t="str">
        <x:v>6 x 3</x:v>
      </x:c>
      <x:c r="H159" s="223" t="n">
        <x:v>18</x:v>
      </x:c>
    </x:row>
    <x:row r="160" ht="18" customHeight="1">
      <x:c r="A160" s="163" t="str">
        <x:f>A147</x:f>
        <x:v>BANHEIRO (VESTUÁRIO)</x:v>
      </x:c>
      <x:c r="B160" s="235" t="n">
        <x:f>F147</x:f>
        <x:v>11460.512399240131</x:v>
      </x:c>
      <x:c r="C160" s="230" t="n">
        <x:f>$B$67</x:f>
        <x:v>3000</x:v>
      </x:c>
      <x:c r="D160" s="230" t="n">
        <x:f>$B$68</x:f>
        <x:v>2</x:v>
      </x:c>
      <x:c r="E160" s="230" t="n">
        <x:f>B160/(C160*D160)</x:f>
        <x:v>1.9100853998733551</x:v>
      </x:c>
      <x:c r="F160" s="230" t="n">
        <x:f>ROUNDUP(E160,0)</x:f>
        <x:v>2</x:v>
      </x:c>
      <x:c r="G160" s="222" t="str">
        <x:v>1 x 2</x:v>
      </x:c>
      <x:c r="H160" s="223" t="n">
        <x:v>2</x:v>
      </x:c>
    </x:row>
    <x:row r="161" ht="18" customHeight="1">
      <x:c r="A161" s="163" t="str">
        <x:f>A148</x:f>
        <x:v>ESCRITÓRIO</x:v>
      </x:c>
      <x:c r="B161" s="234" t="n">
        <x:f>F148</x:f>
        <x:v>85914.94101231072</x:v>
      </x:c>
      <x:c r="C161" s="234" t="n">
        <x:f>$B$67</x:f>
        <x:v>3000</x:v>
      </x:c>
      <x:c r="D161" s="234" t="n">
        <x:f>$B$68</x:f>
        <x:v>2</x:v>
      </x:c>
      <x:c r="E161" s="234" t="n">
        <x:f>B161/(C161*D161)</x:f>
        <x:v>14.31915683538512</x:v>
      </x:c>
      <x:c r="F161" s="234" t="n">
        <x:f>ROUNDUP(E161,0)</x:f>
        <x:v>15</x:v>
      </x:c>
      <x:c r="G161" s="182" t="str">
        <x:v>3 x 5</x:v>
      </x:c>
      <x:c r="H161" s="164" t="n">
        <x:v>15</x:v>
      </x:c>
    </x:row>
    <x:row r="162" ht="18" customHeight="1"/>
    <x:row r="163" ht="22" customHeight="1">
      <x:c r="A163" s="160" t="str">
        <x:v>DISTRIBUIÇÃO / DISPOSIÇÃO DAS LUMINÁRIAS</x:v>
      </x:c>
      <x:c r="B163" s="160"/>
      <x:c r="C163" s="160"/>
      <x:c r="D163" s="160"/>
      <x:c r="E163" s="160"/>
      <x:c r="F163" s="160"/>
      <x:c r="G163" s="160"/>
      <x:c r="H163" s="160"/>
      <x:c r="I163" s="160"/>
      <x:c r="J163" s="160"/>
    </x:row>
    <x:row r="164" ht="18" customHeight="1">
      <x:c r="A164" s="116" t="str">
        <x:v>Critério da aula/material: X e Y devem ficar, em geral, entre 1,0 m e 1,5 × Hlp; distâncias às paredes X1 e Y1 são metade do espaçamento. Para Hlp = 2,20 m, o limite superior é 3,30 m.</x:v>
      </x:c>
      <x:c r="B164" s="116"/>
      <x:c r="C164" s="116"/>
      <x:c r="D164" s="116"/>
      <x:c r="E164" s="116"/>
      <x:c r="F164" s="116"/>
      <x:c r="G164" s="116"/>
      <x:c r="H164" s="116"/>
      <x:c r="I164" s="116"/>
      <x:c r="J164" s="116"/>
    </x:row>
    <x:row r="165" ht="18" customHeight="1"/>
    <x:row r="166" ht="18" customHeight="1">
      <x:c r="A166" s="186" t="str">
        <x:v>AMBIENTE</x:v>
      </x:c>
      <x:c r="B166" s="187" t="str">
        <x:v>Nx</x:v>
      </x:c>
      <x:c r="C166" s="187" t="str">
        <x:v>Ny</x:v>
      </x:c>
      <x:c r="D166" s="187" t="str">
        <x:v>X [m]</x:v>
      </x:c>
      <x:c r="E166" s="187" t="str">
        <x:v>X1 [m]</x:v>
      </x:c>
      <x:c r="F166" s="187" t="str">
        <x:v>Y [m]</x:v>
      </x:c>
      <x:c r="G166" s="187" t="str">
        <x:v>Y1 [m]</x:v>
      </x:c>
      <x:c r="H166" s="187" t="str">
        <x:v>1,5×Hlp [m]</x:v>
      </x:c>
      <x:c r="I166" s="187" t="str">
        <x:v>N TOTAL</x:v>
      </x:c>
      <x:c r="J166" s="188" t="str">
        <x:v>VERIFICAÇÃO</x:v>
      </x:c>
    </x:row>
    <x:row r="167" ht="18" customHeight="1">
      <x:c r="A167" s="161" t="str">
        <x:f>A3</x:f>
        <x:v>SAÍDA DE PRODUTOS (SALA DE PRODUTOS)</x:v>
      </x:c>
      <x:c r="B167" s="221" t="n">
        <x:v>3</x:v>
      </x:c>
      <x:c r="C167" s="221" t="n">
        <x:v>1</x:v>
      </x:c>
      <x:c r="D167" s="224" t="n">
        <x:f>IF(B167&gt;1,C3/B167,0)</x:f>
        <x:v>2</x:v>
      </x:c>
      <x:c r="E167" s="224" t="n">
        <x:f>C3/(2*B167)</x:f>
        <x:v>1</x:v>
      </x:c>
      <x:c r="F167" s="224" t="n">
        <x:f>IF(C167&gt;1,B3/C167,0)</x:f>
        <x:v>0</x:v>
      </x:c>
      <x:c r="G167" s="224" t="n">
        <x:f>B3/(2*C167)</x:f>
        <x:v>2.5</x:v>
      </x:c>
      <x:c r="H167" s="224" t="n">
        <x:f>1.5*F3</x:f>
        <x:v>3.3000000000000003</x:v>
      </x:c>
      <x:c r="I167" s="221" t="n">
        <x:f>B167*C167</x:f>
        <x:v>3</x:v>
      </x:c>
      <x:c r="J167" s="162" t="str">
        <x:f>IF(AND(MAX(D167,E167,F167,G167)&lt;=H167,OR(D167=0,D167&gt;=1),OR(F167=0,F167&gt;=1)),"CERTO","REVER")</x:f>
        <x:v>CERTO</x:v>
      </x:c>
    </x:row>
    <x:row r="168" ht="18" customHeight="1">
      <x:c r="A168" s="255" t="str">
        <x:f>A4</x:f>
        <x:v>CONTROLE DE QUALIDADE</x:v>
      </x:c>
      <x:c r="B168" s="222" t="n">
        <x:v>6</x:v>
      </x:c>
      <x:c r="C168" s="222" t="n">
        <x:v>3</x:v>
      </x:c>
      <x:c r="D168" s="230" t="n">
        <x:f>IF(B168&gt;1,C4/B168,0)</x:f>
        <x:v>1</x:v>
      </x:c>
      <x:c r="E168" s="230" t="n">
        <x:f>C4/(2*B168)</x:f>
        <x:v>0.5</x:v>
      </x:c>
      <x:c r="F168" s="230" t="n">
        <x:f>IF(C168&gt;1,B4/C168,0)</x:f>
        <x:v>1.6666666666666667</x:v>
      </x:c>
      <x:c r="G168" s="230" t="n">
        <x:f>B4/(2*C168)</x:f>
        <x:v>0.8333333333333334</x:v>
      </x:c>
      <x:c r="H168" s="230" t="n">
        <x:f>1.5*F4</x:f>
        <x:v>3.3000000000000003</x:v>
      </x:c>
      <x:c r="I168" s="222" t="n">
        <x:f>B168*C168</x:f>
        <x:v>18</x:v>
      </x:c>
      <x:c r="J168" s="223" t="str">
        <x:f>IF(AND(MAX(D168,E168,F168,G168)&lt;=H168,OR(D168=0,D168&gt;=1),OR(F168=0,F168&gt;=1)),"CERTO","REVER")</x:f>
        <x:v>CERTO</x:v>
      </x:c>
    </x:row>
    <x:row r="169" ht="18" customHeight="1">
      <x:c r="A169" s="255" t="str">
        <x:f>A5</x:f>
        <x:v>BANHEIRO (VESTUÁRIO)</x:v>
      </x:c>
      <x:c r="B169" s="222" t="n">
        <x:v>1</x:v>
      </x:c>
      <x:c r="C169" s="222" t="n">
        <x:v>2</x:v>
      </x:c>
      <x:c r="D169" s="230" t="n">
        <x:f>IF(B169&gt;1,C5/B169,0)</x:f>
        <x:v>0</x:v>
      </x:c>
      <x:c r="E169" s="230" t="n">
        <x:f>C5/(2*B169)</x:f>
        <x:v>1.75</x:v>
      </x:c>
      <x:c r="F169" s="230" t="n">
        <x:f>IF(C169&gt;1,B5/C169,0)</x:f>
        <x:v>2.615</x:v>
      </x:c>
      <x:c r="G169" s="230" t="n">
        <x:f>B5/(2*C169)</x:f>
        <x:v>1.3075</x:v>
      </x:c>
      <x:c r="H169" s="230" t="n">
        <x:f>1.5*F5</x:f>
        <x:v>3.3000000000000003</x:v>
      </x:c>
      <x:c r="I169" s="222" t="n">
        <x:f>B169*C169</x:f>
        <x:v>2</x:v>
      </x:c>
      <x:c r="J169" s="223" t="str">
        <x:f>IF(AND(MAX(D169,E169,F169,G169)&lt;=H169,OR(D169=0,D169&gt;=1),OR(F169=0,F169&gt;=1)),"CERTO","REVER")</x:f>
        <x:v>CERTO</x:v>
      </x:c>
    </x:row>
    <x:row r="170" ht="18" customHeight="1">
      <x:c r="A170" s="163" t="str">
        <x:f>A6</x:f>
        <x:v>ESCRITÓRIO</x:v>
      </x:c>
      <x:c r="B170" s="182" t="n">
        <x:v>3</x:v>
      </x:c>
      <x:c r="C170" s="182" t="n">
        <x:v>5</x:v>
      </x:c>
      <x:c r="D170" s="234" t="n">
        <x:f>IF(B170&gt;1,C6/B170,0)</x:f>
        <x:v>2</x:v>
      </x:c>
      <x:c r="E170" s="234" t="n">
        <x:f>C6/(2*B170)</x:f>
        <x:v>1</x:v>
      </x:c>
      <x:c r="F170" s="234" t="n">
        <x:f>IF(C170&gt;1,B6/C170,0)</x:f>
        <x:v>1.6239999999999999</x:v>
      </x:c>
      <x:c r="G170" s="234" t="n">
        <x:f>B6/(2*C170)</x:f>
        <x:v>0.8119999999999999</x:v>
      </x:c>
      <x:c r="H170" s="234" t="n">
        <x:f>1.5*F6</x:f>
        <x:v>3.3000000000000003</x:v>
      </x:c>
      <x:c r="I170" s="182" t="n">
        <x:f>B170*C170</x:f>
        <x:v>15</x:v>
      </x:c>
      <x:c r="J170" s="164" t="str">
        <x:f>IF(AND(MAX(D170,E170,F170,G170)&lt;=H170,OR(D170=0,D170&gt;=1),OR(F170=0,F170&gt;=1)),"CERTO","REVER")</x:f>
        <x:v>CERTO</x:v>
      </x:c>
    </x:row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22" customHeight="1">
      <x:c r="A178" s="160" t="str">
        <x:v>POTÊNCIA DO PONTO DE ILUMINAÇÃO E CARGA</x:v>
      </x:c>
      <x:c r="B178" s="160"/>
      <x:c r="C178" s="160"/>
      <x:c r="D178" s="160"/>
      <x:c r="E178" s="160"/>
      <x:c r="F178" s="160"/>
      <x:c r="G178" s="160"/>
      <x:c r="H178" s="160"/>
      <x:c r="I178" s="160"/>
      <x:c r="J178" s="160"/>
    </x:row>
    <x:row r="179" ht="18" customHeight="1">
      <x:c r="A179" s="161" t="str">
        <x:v>POTÊNCIA DAS LÂMPADAS [W]</x:v>
      </x:c>
      <x:c r="B179" s="225" t="n">
        <x:f>B68*B66</x:f>
        <x:v>80</x:v>
      </x:c>
    </x:row>
    <x:row r="180" ht="18" customHeight="1">
      <x:c r="A180" s="255" t="str">
        <x:v>PERDAS DO REATOR [W]</x:v>
      </x:c>
      <x:c r="B180" s="231" t="n">
        <x:f>B75</x:f>
        <x:v>24.1</x:v>
      </x:c>
    </x:row>
    <x:row r="181" ht="18" customHeight="1">
      <x:c r="A181" s="255" t="str">
        <x:v>P ATIVA POR LUMINÁRIA [W]</x:v>
      </x:c>
      <x:c r="B181" s="231" t="n">
        <x:f>B179+B180</x:f>
        <x:v>104.1</x:v>
      </x:c>
    </x:row>
    <x:row r="182" ht="18" customHeight="1">
      <x:c r="A182" s="255" t="str">
        <x:v>FP</x:v>
      </x:c>
      <x:c r="B182" s="231" t="n">
        <x:f>B74</x:f>
        <x:v>0.9</x:v>
      </x:c>
    </x:row>
    <x:row r="183" ht="18" customHeight="1">
      <x:c r="A183" s="255" t="str">
        <x:v>Q POR LUMINÁRIA [var]</x:v>
      </x:c>
      <x:c r="B183" s="231" t="n">
        <x:f>B181*TAN(ACOS(B182))</x:f>
        <x:v>50.41793111362045</x:v>
      </x:c>
    </x:row>
    <x:row r="184" ht="18" customHeight="1">
      <x:c r="A184" s="255" t="str">
        <x:v>S POR LUMINÁRIA [VA]</x:v>
      </x:c>
      <x:c r="B184" s="231" t="n">
        <x:f>SQRT(B181^2+B183^2)</x:f>
        <x:v>115.66666666666667</x:v>
      </x:c>
    </x:row>
    <x:row r="185" ht="18" customHeight="1">
      <x:c r="A185" s="163" t="str">
        <x:v>S ADOTADA POR PONTO [VA]</x:v>
      </x:c>
      <x:c r="B185" s="235" t="n">
        <x:v>120</x:v>
      </x:c>
    </x:row>
    <x:row r="186" ht="18" customHeight="1"/>
    <x:row r="187" ht="18" customHeight="1">
      <x:c r="A187" s="116" t="str">
        <x:v>Para as etapas seguintes do projeto, a carga fica registrada em potência complexa P + jQ. A potência aparente exata por luminária é calculada; para margem de projeto foi adotado 120 VA por ponto.</x:v>
      </x:c>
      <x:c r="B187" s="116"/>
      <x:c r="C187" s="116"/>
      <x:c r="D187" s="116"/>
      <x:c r="E187" s="116"/>
      <x:c r="F187" s="116"/>
      <x:c r="G187" s="116"/>
      <x:c r="H187" s="116"/>
      <x:c r="I187" s="116"/>
      <x:c r="J187" s="116"/>
    </x:row>
    <x:row r="188" ht="18" customHeight="1"/>
    <x:row r="189" ht="18" customHeight="1">
      <x:c r="A189" s="186" t="str">
        <x:v>AMBIENTE</x:v>
      </x:c>
      <x:c r="B189" s="187" t="str">
        <x:v>QDL</x:v>
      </x:c>
      <x:c r="C189" s="187" t="str">
        <x:v>Nlu</x:v>
      </x:c>
      <x:c r="D189" s="187" t="str">
        <x:v>P [W]</x:v>
      </x:c>
      <x:c r="E189" s="187" t="str">
        <x:v>Q [var]</x:v>
      </x:c>
      <x:c r="F189" s="187" t="str">
        <x:v>S EXATA [VA]</x:v>
      </x:c>
      <x:c r="G189" s="187" t="str">
        <x:v>S ADOTADA [VA]</x:v>
      </x:c>
      <x:c r="H189" s="187" t="str">
        <x:v>I EXATA [A]</x:v>
      </x:c>
      <x:c r="I189" s="187" t="str">
        <x:v>I ADOTADA [A]</x:v>
      </x:c>
      <x:c r="J189" s="188" t="str">
        <x:v>E OBTIDA [lux]</x:v>
      </x:c>
    </x:row>
    <x:row r="190" ht="18" customHeight="1">
      <x:c r="A190" s="161" t="str">
        <x:f>A3</x:f>
        <x:v>SAÍDA DE PRODUTOS (SALA DE PRODUTOS)</x:v>
      </x:c>
      <x:c r="B190" s="221" t="str">
        <x:v>QDL6</x:v>
      </x:c>
      <x:c r="C190" s="221" t="n">
        <x:f>H158</x:f>
        <x:v>3</x:v>
      </x:c>
      <x:c r="D190" s="224" t="n">
        <x:f>C190*$B$181</x:f>
        <x:v>312.29999999999995</x:v>
      </x:c>
      <x:c r="E190" s="224" t="n">
        <x:f>C190*$B$183</x:f>
        <x:v>151.25379334086134</x:v>
      </x:c>
      <x:c r="F190" s="224" t="n">
        <x:f>SQRT(D190^2+E190^2)</x:f>
        <x:v>346.99999999999994</x:v>
      </x:c>
      <x:c r="G190" s="224" t="n">
        <x:f>C190*$B$185</x:f>
        <x:v>360</x:v>
      </x:c>
      <x:c r="H190" s="224" t="n">
        <x:f>F190/$B$72</x:f>
        <x:v>1.577272727272727</x:v>
      </x:c>
      <x:c r="I190" s="224" t="n">
        <x:f>G190/$B$72</x:f>
        <x:v>1.6363636363636365</x:v>
      </x:c>
      <x:c r="J190" s="225" t="n">
        <x:f>C190*$B$68*$B$67*H103*$B$121/(B3*C3)</x:f>
        <x:v>219.57024793388427</x:v>
      </x:c>
    </x:row>
    <x:row r="191" ht="18" customHeight="1">
      <x:c r="A191" s="255" t="str">
        <x:f>A4</x:f>
        <x:v>CONTROLE DE QUALIDADE</x:v>
      </x:c>
      <x:c r="B191" s="222" t="str">
        <x:v>QDL6</x:v>
      </x:c>
      <x:c r="C191" s="222" t="n">
        <x:f>H159</x:f>
        <x:v>18</x:v>
      </x:c>
      <x:c r="D191" s="230" t="n">
        <x:f>C191*$B$181</x:f>
        <x:v>1873.8</x:v>
      </x:c>
      <x:c r="E191" s="230" t="n">
        <x:f>C191*$B$183</x:f>
        <x:v>907.5227600451681</x:v>
      </x:c>
      <x:c r="F191" s="230" t="n">
        <x:f>SQRT(D191^2+E191^2)</x:f>
        <x:v>2082</x:v>
      </x:c>
      <x:c r="G191" s="230" t="n">
        <x:f>C191*$B$185</x:f>
        <x:v>2160</x:v>
      </x:c>
      <x:c r="H191" s="230" t="n">
        <x:f>F191/$B$72</x:f>
        <x:v>9.463636363636363</x:v>
      </x:c>
      <x:c r="I191" s="230" t="n">
        <x:f>G191/$B$72</x:f>
        <x:v>9.818181818181818</x:v>
      </x:c>
      <x:c r="J191" s="231" t="n">
        <x:f>C191*$B$68*$B$67*H104*$B$121/(B4*C4)</x:f>
        <x:v>1505.305785123967</x:v>
      </x:c>
    </x:row>
    <x:row r="192" ht="18" customHeight="1">
      <x:c r="A192" s="255" t="str">
        <x:f>A5</x:f>
        <x:v>BANHEIRO (VESTUÁRIO)</x:v>
      </x:c>
      <x:c r="B192" s="222" t="str">
        <x:v>QDL7</x:v>
      </x:c>
      <x:c r="C192" s="222" t="n">
        <x:f>H160</x:f>
        <x:v>2</x:v>
      </x:c>
      <x:c r="D192" s="230" t="n">
        <x:f>C192*$B$181</x:f>
        <x:v>208.2</x:v>
      </x:c>
      <x:c r="E192" s="230" t="n">
        <x:f>C192*$B$183</x:f>
        <x:v>100.8358622272409</x:v>
      </x:c>
      <x:c r="F192" s="230" t="n">
        <x:f>SQRT(D192^2+E192^2)</x:f>
        <x:v>231.33333333333334</x:v>
      </x:c>
      <x:c r="G192" s="230" t="n">
        <x:f>C192*$B$185</x:f>
        <x:v>240</x:v>
      </x:c>
      <x:c r="H192" s="230" t="n">
        <x:f>F192/$B$72</x:f>
        <x:v>1.0515151515151515</x:v>
      </x:c>
      <x:c r="I192" s="230" t="n">
        <x:f>G192/$B$72</x:f>
        <x:v>1.0909090909090908</x:v>
      </x:c>
      <x:c r="J192" s="231" t="n">
        <x:f>C192*$B$68*$B$67*H105*$B$121/(B5*C5)</x:f>
        <x:v>209.41472042376813</x:v>
      </x:c>
    </x:row>
    <x:row r="193" ht="18" customHeight="1">
      <x:c r="A193" s="163" t="str">
        <x:f>A6</x:f>
        <x:v>ESCRITÓRIO</x:v>
      </x:c>
      <x:c r="B193" s="182" t="str">
        <x:v>QDL5</x:v>
      </x:c>
      <x:c r="C193" s="182" t="n">
        <x:f>H161</x:f>
        <x:v>15</x:v>
      </x:c>
      <x:c r="D193" s="234" t="n">
        <x:f>C193*$B$181</x:f>
        <x:v>1561.5</x:v>
      </x:c>
      <x:c r="E193" s="234" t="n">
        <x:f>C193*$B$183</x:f>
        <x:v>756.2689667043068</x:v>
      </x:c>
      <x:c r="F193" s="234" t="n">
        <x:f>SQRT(D193^2+E193^2)</x:f>
        <x:v>1735</x:v>
      </x:c>
      <x:c r="G193" s="234" t="n">
        <x:f>C193*$B$185</x:f>
        <x:v>1800</x:v>
      </x:c>
      <x:c r="H193" s="234" t="n">
        <x:f>F193/$B$72</x:f>
        <x:v>7.886363636363637</x:v>
      </x:c>
      <x:c r="I193" s="234" t="n">
        <x:f>G193/$B$72</x:f>
        <x:v>8.181818181818182</x:v>
      </x:c>
      <x:c r="J193" s="235" t="n">
        <x:f>C193*$B$68*$B$67*H106*$B$121/(B6*C6)</x:f>
        <x:v>785.6607850120965</x:v>
      </x:c>
    </x:row>
    <x:row r="194" ht="18" customHeight="1"/>
    <x:row r="195" ht="18" customHeight="1">
      <x:c r="A195" s="186" t="str">
        <x:v>RESUMO POR QDL</x:v>
      </x:c>
      <x:c r="B195" s="188"/>
    </x:row>
    <x:row r="196" ht="18" customHeight="1">
      <x:c r="A196" s="186" t="str">
        <x:v>QDL</x:v>
      </x:c>
      <x:c r="B196" s="187" t="str">
        <x:v>AMBIENTES</x:v>
      </x:c>
      <x:c r="C196" s="187" t="str">
        <x:v>LUMINÁRIAS</x:v>
      </x:c>
      <x:c r="D196" s="187" t="str">
        <x:v>P [W]</x:v>
      </x:c>
      <x:c r="E196" s="187" t="str">
        <x:v>Q [var]</x:v>
      </x:c>
      <x:c r="F196" s="187" t="str">
        <x:v>S ADOTADA [VA]</x:v>
      </x:c>
      <x:c r="G196" s="188" t="str">
        <x:v>I ADOTADA [A]</x:v>
      </x:c>
    </x:row>
    <x:row r="197" ht="18" customHeight="1">
      <x:c r="A197" s="161" t="str">
        <x:v>QDL5</x:v>
      </x:c>
      <x:c r="B197" s="221" t="str">
        <x:v>ESCRITÓRIO</x:v>
      </x:c>
      <x:c r="C197" s="224" t="n">
        <x:f>C193</x:f>
        <x:v>15</x:v>
      </x:c>
      <x:c r="D197" s="224" t="n">
        <x:f>D193</x:f>
        <x:v>1561.5</x:v>
      </x:c>
      <x:c r="E197" s="224" t="n">
        <x:f>E193</x:f>
        <x:v>756.2689667043068</x:v>
      </x:c>
      <x:c r="F197" s="224" t="n">
        <x:f>G193</x:f>
        <x:v>1800</x:v>
      </x:c>
      <x:c r="G197" s="225" t="n">
        <x:f>I193</x:f>
        <x:v>8.181818181818182</x:v>
      </x:c>
    </x:row>
    <x:row r="198" ht="18" customHeight="1">
      <x:c r="A198" s="255" t="str">
        <x:v>QDL6</x:v>
      </x:c>
      <x:c r="B198" s="222" t="str">
        <x:v>SALA DE PRODUTOS + CONTROLE DE QUALIDADE</x:v>
      </x:c>
      <x:c r="C198" s="230" t="n">
        <x:f>C190+C191</x:f>
        <x:v>21</x:v>
      </x:c>
      <x:c r="D198" s="230" t="n">
        <x:f>D190+D191</x:f>
        <x:v>2186.1</x:v>
      </x:c>
      <x:c r="E198" s="230" t="n">
        <x:f>E190+E191</x:f>
        <x:v>1058.7765533860295</x:v>
      </x:c>
      <x:c r="F198" s="230" t="n">
        <x:f>G190+G191</x:f>
        <x:v>2520</x:v>
      </x:c>
      <x:c r="G198" s="231" t="n">
        <x:f>I190+I191</x:f>
        <x:v>11.454545454545455</x:v>
      </x:c>
    </x:row>
    <x:row r="199" ht="18" customHeight="1">
      <x:c r="A199" s="255" t="str">
        <x:v>QDL7</x:v>
      </x:c>
      <x:c r="B199" s="222" t="str">
        <x:v>BANHEIRO / VESTIÁRIO</x:v>
      </x:c>
      <x:c r="C199" s="230" t="n">
        <x:f>C192</x:f>
        <x:v>2</x:v>
      </x:c>
      <x:c r="D199" s="230" t="n">
        <x:f>D192</x:f>
        <x:v>208.2</x:v>
      </x:c>
      <x:c r="E199" s="230" t="n">
        <x:f>E192</x:f>
        <x:v>100.8358622272409</x:v>
      </x:c>
      <x:c r="F199" s="230" t="n">
        <x:f>G192</x:f>
        <x:v>240</x:v>
      </x:c>
      <x:c r="G199" s="231" t="n">
        <x:f>I192</x:f>
        <x:v>1.0909090909090908</x:v>
      </x:c>
    </x:row>
    <x:row r="200" ht="18" customHeight="1">
      <x:c r="A200" s="163" t="str">
        <x:v>TOTAL</x:v>
      </x:c>
      <x:c r="B200" s="182" t="str">
        <x:v>QUATRO AMBIENTES</x:v>
      </x:c>
      <x:c r="C200" s="234" t="n">
        <x:f>SUM(C197:C199)</x:f>
        <x:v>38</x:v>
      </x:c>
      <x:c r="D200" s="234" t="n">
        <x:f>SUM(D197:D199)</x:f>
        <x:v>3955.7999999999997</x:v>
      </x:c>
      <x:c r="E200" s="234" t="n">
        <x:f>SUM(E197:E199)</x:f>
        <x:v>1915.881382317577</x:v>
      </x:c>
      <x:c r="F200" s="234" t="n">
        <x:f>SUM(F197:F199)</x:f>
        <x:v>4560</x:v>
      </x:c>
      <x:c r="G200" s="235" t="n">
        <x:f>SUM(G197:G199)</x:f>
        <x:v>20.727272727272727</x:v>
      </x:c>
    </x:row>
    <x:row r="201" ht="18" customHeight="1"/>
    <x:row r="202" ht="22" customHeight="1">
      <x:c r="A202" s="160" t="str">
        <x:v>VERIFICAÇÃO TÉCNICA FINAL</x:v>
      </x:c>
      <x:c r="B202" s="160"/>
      <x:c r="C202" s="160"/>
      <x:c r="D202" s="160"/>
      <x:c r="E202" s="160"/>
      <x:c r="F202" s="160"/>
      <x:c r="G202" s="160"/>
      <x:c r="H202" s="160"/>
      <x:c r="I202" s="160"/>
      <x:c r="J202" s="160"/>
    </x:row>
    <x:row r="203" ht="18" customHeight="1">
      <x:c r="A203" s="186" t="str">
        <x:v>ITEM</x:v>
      </x:c>
      <x:c r="B203" s="187" t="str">
        <x:v>VERIFICAÇÃO</x:v>
      </x:c>
      <x:c r="C203" s="187" t="str">
        <x:v>RESULTADO</x:v>
      </x:c>
      <x:c r="D203" s="188" t="str">
        <x:v>OBSERVAÇÃO</x:v>
      </x:c>
    </x:row>
    <x:row r="204" ht="18" customHeight="1">
      <x:c r="A204" s="272" t="str">
        <x:v>Método</x:v>
      </x:c>
      <x:c r="B204" s="273" t="str">
        <x:v>Método dos Lumens exigido para as áreas do Lucas</x:v>
      </x:c>
      <x:c r="C204" s="273" t="str">
        <x:v>OK</x:v>
      </x:c>
      <x:c r="D204" s="274" t="str">
        <x:v>Cálculo mantém a metodologia da disciplina</x:v>
      </x:c>
    </x:row>
    <x:row r="205" ht="18" customHeight="1">
      <x:c r="A205" s="272" t="str">
        <x:v>Peso de iluminância</x:v>
      </x:c>
      <x:c r="B205" s="273" t="str">
        <x:v>41 anos + importante + fundo 40% → 0</x:v>
      </x:c>
      <x:c r="C205" s="273" t="str">
        <x:v>OK</x:v>
      </x:c>
      <x:c r="D205" s="274" t="str">
        <x:v>Usa valor médio da faixa</x:v>
      </x:c>
    </x:row>
    <x:row r="206" ht="18" customHeight="1">
      <x:c r="A206" s="272" t="str">
        <x:v>Refletâncias</x:v>
      </x:c>
      <x:c r="B206" s="273" t="str">
        <x:v>CLARO 50%; BRANCO 70%; BEGE 35%</x:v>
      </x:c>
      <x:c r="C206" s="273" t="str">
        <x:v>OK</x:v>
      </x:c>
      <x:c r="D206" s="274" t="str">
        <x:v>Condição crítica para bege</x:v>
      </x:c>
    </x:row>
    <x:row r="207" ht="18" customHeight="1">
      <x:c r="A207" s="272" t="str">
        <x:v>Fu</x:v>
      </x:c>
      <x:c r="B207" s="273" t="str">
        <x:v>Tabela Philips TMS 426 - 2 TL 40 W</x:v>
      </x:c>
      <x:c r="C207" s="273" t="str">
        <x:v>OK</x:v>
      </x:c>
      <x:c r="D207" s="274" t="str">
        <x:v>Interpolação em K e, no escritório, também na parede</x:v>
      </x:c>
    </x:row>
    <x:row r="208" ht="18" customHeight="1">
      <x:c r="A208" s="272" t="str">
        <x:v>Fdl</x:v>
      </x:c>
      <x:c r="B208" s="273" t="str">
        <x:v>Luminária comercial = 0,75</x:v>
      </x:c>
      <x:c r="C208" s="273" t="str">
        <x:v>OK</x:v>
      </x:c>
      <x:c r="D208" s="274" t="str">
        <x:v>Tabela 2.9 de Mamede</x:v>
      </x:c>
    </x:row>
    <x:row r="209" ht="18" customHeight="1">
      <x:c r="A209" s="272" t="str">
        <x:v>Fluxo e Nlu</x:v>
      </x:c>
      <x:c r="B209" s="273" t="str">
        <x:v>Fórmulas explícitas e arredondamento para cima</x:v>
      </x:c>
      <x:c r="C209" s="273" t="str">
        <x:v>OK</x:v>
      </x:c>
      <x:c r="D209" s="274" t="str">
        <x:v>Sem valores ocultos</x:v>
      </x:c>
    </x:row>
    <x:row r="210" ht="18" customHeight="1">
      <x:c r="A210" s="272" t="str">
        <x:v>Distribuição</x:v>
      </x:c>
      <x:c r="B210" s="273" t="str">
        <x:v>Limite 1,5×Hlp e bordas X1/Y1</x:v>
      </x:c>
      <x:c r="C210" s="273" t="str">
        <x:v>OK</x:v>
      </x:c>
      <x:c r="D210" s="274" t="str">
        <x:v>Todas as quatro grades atendem</x:v>
      </x:c>
    </x:row>
    <x:row r="211" ht="18" customHeight="1">
      <x:c r="A211" s="272" t="str">
        <x:v>Carga</x:v>
      </x:c>
      <x:c r="B211" s="273" t="str">
        <x:v>P, Q, S e corrente registrados</x:v>
      </x:c>
      <x:c r="C211" s="273" t="str">
        <x:v>OK</x:v>
      </x:c>
      <x:c r="D211" s="274" t="str">
        <x:v>Compatível com a nota P+jQ do projeto</x:v>
      </x:c>
    </x:row>
    <x:row r="212" ht="18" customHeight="1"/>
    <x:row r="213" ht="18" customHeight="1"/>
    <x:row r="214" ht="22" customHeight="1">
      <x:c r="A214" s="160" t="str">
        <x:v>REFERÊNCIAS</x:v>
      </x:c>
      <x:c r="B214" s="160"/>
      <x:c r="C214" s="160"/>
      <x:c r="D214" s="160"/>
      <x:c r="E214" s="160"/>
      <x:c r="F214" s="160"/>
      <x:c r="G214" s="160"/>
      <x:c r="H214" s="160"/>
      <x:c r="I214" s="160"/>
      <x:c r="J214" s="160"/>
    </x:row>
    <x:row r="215" ht="18" customHeight="1">
      <x:c r="A215" s="161" t="str">
        <x:v>Mamede - método dos lumens / Fdl</x:v>
      </x:c>
      <x:c r="B215" s="245" t="str">
        <x:v>https://www.drb-assessoria.com.br/av1/Instalacoes_Eletricas_Industriais_Joa_Ma.pdf</x:v>
      </x:c>
    </x:row>
    <x:row r="216" ht="18" customHeight="1">
      <x:c r="A216" s="255" t="str">
        <x:v>Manual Philips - TMS 426 e fatores de utilização</x:v>
      </x:c>
      <x:c r="B216" s="256" t="str">
        <x:v>https://www.udesc.br/arquivos/udesc/id_cpmenu/9731/Manual_Philps_Luminot_cnica_8_23_17218278287522_9731.pdf</x:v>
      </x:c>
    </x:row>
    <x:row r="217" ht="18" customHeight="1">
      <x:c r="A217" s="255" t="str">
        <x:v>Repositório do projeto</x:v>
      </x:c>
      <x:c r="B217" s="256" t="str">
        <x:v>https://github.com/LucasBitt7/Projeto-Industrial</x:v>
      </x:c>
    </x:row>
    <x:row r="218" ht="18" customHeight="1">
      <x:c r="A218" s="255" t="str">
        <x:v>Tabelas auxiliares do T1</x:v>
      </x:c>
      <x:c r="B218" s="256" t="str">
        <x:v>https://github.com/LucasBitt7/Projeto-Industrial/tree/main/02%20-%20Luminotecnica</x:v>
      </x:c>
    </x:row>
    <x:row r="219" ht="18" customHeight="1">
      <x:c r="A219" s="163" t="str">
        <x:v>Dados iniciais da recapadora</x:v>
      </x:c>
      <x:c r="B219" s="257" t="str">
        <x:v>https://github.com/LucasBitt7/Projeto-Industrial/tree/main/05%20-%20Projeto%20Industrial%20-%20Recapadora%20de%20Pneus/01%20-%20Dados%20Iniciais</x:v>
      </x:c>
    </x:row>
    <x:row r="220" ht="18" customHeight="1"/>
  </x:sheetData>
  <x:mergeCells>
    <x:mergeCell ref="A1:J1"/>
    <x:mergeCell ref="A8:J8"/>
    <x:mergeCell ref="A9:J9"/>
    <x:mergeCell ref="A11:J11"/>
    <x:mergeCell ref="A13:B13"/>
    <x:mergeCell ref="A20:B20"/>
    <x:mergeCell ref="A47:B47"/>
    <x:mergeCell ref="A54:J54"/>
    <x:mergeCell ref="A56:J56"/>
    <x:mergeCell ref="A58:B58"/>
    <x:mergeCell ref="A63:B63"/>
    <x:mergeCell ref="A70:B70"/>
    <x:mergeCell ref="A77:J77"/>
    <x:mergeCell ref="A78:J78"/>
    <x:mergeCell ref="A80:B80"/>
    <x:mergeCell ref="A101:B101"/>
    <x:mergeCell ref="A119:J119"/>
    <x:mergeCell ref="A124:J124"/>
    <x:mergeCell ref="A136:J136"/>
    <x:mergeCell ref="A137:C137"/>
    <x:mergeCell ref="A150:J150"/>
    <x:mergeCell ref="A151:D151"/>
    <x:mergeCell ref="A163:J163"/>
    <x:mergeCell ref="A164:J164"/>
    <x:mergeCell ref="A178:J178"/>
    <x:mergeCell ref="A187:J187"/>
    <x:mergeCell ref="A195:B195"/>
    <x:mergeCell ref="A202:J202"/>
    <x:mergeCell ref="A214:J214"/>
  </x:mergeCells>
  <x:conditionalFormatting sqref="H134:H137">
    <x:cfRule type="expression" dxfId="0" priority="1">
      <x:formula>H134="OK"</x:formula>
    </x:cfRule>
    <x:cfRule type="expression" dxfId="1" priority="2">
      <x:formula>H134="REVER"</x:formula>
    </x:cfRule>
  </x:conditionalFormatting>
  <x:conditionalFormatting sqref="J167:J170">
    <x:cfRule type="expression" dxfId="2" priority="3">
      <x:formula>J167="CERTO"</x:formula>
    </x:cfRule>
    <x:cfRule type="expression" dxfId="3" priority="4">
      <x:formula>J167="REVER"</x:formula>
    </x:cfRule>
  </x:conditionalFormatting>
  <x:pageMargins left="0.7" right="0.7" top="0.75" bottom="0.75" header="0.3" footer="0.3"/>
  <x:drawing xmlns:r="http://schemas.openxmlformats.org/officeDocument/2006/relationships" r:id="Rfe83d50a849441e0"/>
</x:worksheet>
</file>