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67.xml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59.xml"/>
  <Override ContentType="application/vnd.openxmlformats-officedocument.spreadsheetml.table+xml" PartName="/xl/tables/table58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49.xml"/>
  <Override ContentType="application/vnd.openxmlformats-officedocument.spreadsheetml.table+xml" PartName="/xl/tables/table57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66.xml"/>
  <Override ContentType="application/vnd.openxmlformats-officedocument.spreadsheetml.table+xml" PartName="/xl/tables/table18.xml"/>
  <Override ContentType="application/vnd.openxmlformats-officedocument.spreadsheetml.table+xml" PartName="/xl/tables/table48.xml"/>
  <Override ContentType="application/vnd.openxmlformats-officedocument.spreadsheetml.table+xml" PartName="/xl/tables/table22.xml"/>
  <Override ContentType="application/vnd.openxmlformats-officedocument.spreadsheetml.table+xml" PartName="/xl/tables/table52.xml"/>
  <Override ContentType="application/vnd.openxmlformats-officedocument.spreadsheetml.table+xml" PartName="/xl/tables/table35.xml"/>
  <Override ContentType="application/vnd.openxmlformats-officedocument.spreadsheetml.table+xml" PartName="/xl/tables/table6.xml"/>
  <Override ContentType="application/vnd.openxmlformats-officedocument.spreadsheetml.table+xml" PartName="/xl/tables/table65.xml"/>
  <Override ContentType="application/vnd.openxmlformats-officedocument.spreadsheetml.table+xml" PartName="/xl/tables/table20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7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51.xml"/>
  <Override ContentType="application/vnd.openxmlformats-officedocument.spreadsheetml.table+xml" PartName="/xl/tables/table64.xml"/>
  <Override ContentType="application/vnd.openxmlformats-officedocument.spreadsheetml.table+xml" PartName="/xl/tables/table37.xml"/>
  <Override ContentType="application/vnd.openxmlformats-officedocument.spreadsheetml.table+xml" PartName="/xl/tables/table62.xml"/>
  <Override ContentType="application/vnd.openxmlformats-officedocument.spreadsheetml.table+xml" PartName="/xl/tables/table29.xml"/>
  <Override ContentType="application/vnd.openxmlformats-officedocument.spreadsheetml.table+xml" PartName="/xl/tables/table54.xml"/>
  <Override ContentType="application/vnd.openxmlformats-officedocument.spreadsheetml.table+xml" PartName="/xl/tables/table45.xml"/>
  <Override ContentType="application/vnd.openxmlformats-officedocument.spreadsheetml.table+xml" PartName="/xl/tables/table46.xml"/>
  <Override ContentType="application/vnd.openxmlformats-officedocument.spreadsheetml.table+xml" PartName="/xl/tables/table28.xml"/>
  <Override ContentType="application/vnd.openxmlformats-officedocument.spreadsheetml.table+xml" PartName="/xl/tables/table63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36.xml"/>
  <Override ContentType="application/vnd.openxmlformats-officedocument.spreadsheetml.table+xml" PartName="/xl/tables/table61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9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56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55.xml"/>
  <Override ContentType="application/vnd.openxmlformats-officedocument.spreadsheetml.table+xml" PartName="/xl/tables/table3.xml"/>
  <Override ContentType="application/vnd.openxmlformats-officedocument.spreadsheetml.table+xml" PartName="/xl/tables/table42.xml"/>
  <Override ContentType="application/vnd.openxmlformats-officedocument.spreadsheetml.table+xml" PartName="/xl/tables/table60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 de Entrada" sheetId="1" r:id="rId4"/>
    <sheet state="visible" name="QDL" sheetId="2" r:id="rId5"/>
    <sheet state="visible" name="Queda de Tensão - QDL" sheetId="3" r:id="rId6"/>
    <sheet state="visible" name="BALANÇO DE POTENCIAS QDL" sheetId="4" r:id="rId7"/>
    <sheet state="visible" name="BALANÇO TOTAL" sheetId="5" r:id="rId8"/>
    <sheet state="visible" name="QDGL" sheetId="6" r:id="rId9"/>
    <sheet state="hidden" name="Dados de entrada - TUGs" sheetId="7" r:id="rId10"/>
  </sheets>
  <definedNames/>
  <calcPr/>
  <extLst>
    <ext uri="GoogleSheetsCustomDataVersion2">
      <go:sheetsCustomData xmlns:go="http://customooxmlschemas.google.com/" r:id="rId11" roundtripDataChecksum="8UDhYh35FUSXvmLC4gazrklzMPZgceVQWpvRT1tGwEk="/>
    </ext>
  </extLst>
</workbook>
</file>

<file path=xl/sharedStrings.xml><?xml version="1.0" encoding="utf-8"?>
<sst xmlns="http://schemas.openxmlformats.org/spreadsheetml/2006/main" count="1131" uniqueCount="257">
  <si>
    <t>Fator de Agrupamento</t>
  </si>
  <si>
    <t>Ref</t>
  </si>
  <si>
    <t>QDL0 - Subestação</t>
  </si>
  <si>
    <t>Circuito</t>
  </si>
  <si>
    <t>Disjuntor</t>
  </si>
  <si>
    <t>Corrente do Disjuntor (A)</t>
  </si>
  <si>
    <t>Capacidade de interrupção do disjuntor (kA)</t>
  </si>
  <si>
    <t>Balanço de potência (VA)</t>
  </si>
  <si>
    <t>Fator de correção - Temperatura</t>
  </si>
  <si>
    <t>Temperatura</t>
  </si>
  <si>
    <t>PVC</t>
  </si>
  <si>
    <t>EPR ou XLPE</t>
  </si>
  <si>
    <t>R</t>
  </si>
  <si>
    <t>S</t>
  </si>
  <si>
    <t>T</t>
  </si>
  <si>
    <t xml:space="preserve">Dados calculados no luminotécnico </t>
  </si>
  <si>
    <t>Tensão (V)</t>
  </si>
  <si>
    <t>POTENCIA QUADRO</t>
  </si>
  <si>
    <t>CORRENTE QDL</t>
  </si>
  <si>
    <t>MDW-C10</t>
  </si>
  <si>
    <t>Seções nominais mm²</t>
  </si>
  <si>
    <t>B1</t>
  </si>
  <si>
    <t>Quadro</t>
  </si>
  <si>
    <t>Potência Unitária (VA)</t>
  </si>
  <si>
    <t>Nº do circuito</t>
  </si>
  <si>
    <t xml:space="preserve">Área </t>
  </si>
  <si>
    <t>F</t>
  </si>
  <si>
    <t>Método de Instalação</t>
  </si>
  <si>
    <t>Método de Referência</t>
  </si>
  <si>
    <t>Nº de luminárias</t>
  </si>
  <si>
    <t>Potência Lum. (VA)</t>
  </si>
  <si>
    <t>Demanda (VA)</t>
  </si>
  <si>
    <t>Ip (A)</t>
  </si>
  <si>
    <t>Justaposto</t>
  </si>
  <si>
    <t>F.P</t>
  </si>
  <si>
    <t>Trifólio</t>
  </si>
  <si>
    <t>Demanda do quadro (+reservas)</t>
  </si>
  <si>
    <t>Qtd Luminárias</t>
  </si>
  <si>
    <t>QDL-0</t>
  </si>
  <si>
    <t>L0</t>
  </si>
  <si>
    <t>Subestação</t>
  </si>
  <si>
    <t>Utilizando a tabela de tensão unitária Prysmian</t>
  </si>
  <si>
    <t>QDL1 - Sala de Caldeiras</t>
  </si>
  <si>
    <t>Circuito L0</t>
  </si>
  <si>
    <t>Corrente (A)</t>
  </si>
  <si>
    <t>Distância (m)</t>
  </si>
  <si>
    <t>R [Ω/m]</t>
  </si>
  <si>
    <t>QDL-1</t>
  </si>
  <si>
    <t>L1</t>
  </si>
  <si>
    <t>X [Ω/m]</t>
  </si>
  <si>
    <t>Sala de caldeiras</t>
  </si>
  <si>
    <t>FP</t>
  </si>
  <si>
    <t>ΔV (V)</t>
  </si>
  <si>
    <t>ΔV (%)</t>
  </si>
  <si>
    <t>ΔV(%)*</t>
  </si>
  <si>
    <t>Comprimento</t>
  </si>
  <si>
    <t>Curva</t>
  </si>
  <si>
    <t>Subida QDL</t>
  </si>
  <si>
    <t>ΔV unitário (V)</t>
  </si>
  <si>
    <t>QDL-2</t>
  </si>
  <si>
    <t>L2</t>
  </si>
  <si>
    <t>Compressor</t>
  </si>
  <si>
    <t>QDL0-Lu1</t>
  </si>
  <si>
    <t>QDL-3</t>
  </si>
  <si>
    <t>L3</t>
  </si>
  <si>
    <t>Depósito de carcaças</t>
  </si>
  <si>
    <t>QDL-4</t>
  </si>
  <si>
    <t>L4</t>
  </si>
  <si>
    <t>Recapagem</t>
  </si>
  <si>
    <t>QDL2 - Compressor</t>
  </si>
  <si>
    <t>L5</t>
  </si>
  <si>
    <t>L6</t>
  </si>
  <si>
    <t>L7</t>
  </si>
  <si>
    <t>L8</t>
  </si>
  <si>
    <t>L9</t>
  </si>
  <si>
    <t>L10</t>
  </si>
  <si>
    <t>Lu1-Lu2*</t>
  </si>
  <si>
    <t>L11</t>
  </si>
  <si>
    <t>QDL3 - Depósito de carcaças</t>
  </si>
  <si>
    <t>L12</t>
  </si>
  <si>
    <t>L13</t>
  </si>
  <si>
    <t>Lu1-Lu2</t>
  </si>
  <si>
    <t>L14</t>
  </si>
  <si>
    <t>Lu1-Lu3</t>
  </si>
  <si>
    <t>L15</t>
  </si>
  <si>
    <t>L16</t>
  </si>
  <si>
    <t>Raspa</t>
  </si>
  <si>
    <t>L17</t>
  </si>
  <si>
    <t>Lu2-Lu3</t>
  </si>
  <si>
    <t>QDL4 - Recapagem e Raspa</t>
  </si>
  <si>
    <t>QDL-5</t>
  </si>
  <si>
    <t>L18</t>
  </si>
  <si>
    <t>Escritório</t>
  </si>
  <si>
    <t>Lu3-Lu4</t>
  </si>
  <si>
    <t>QDL-6</t>
  </si>
  <si>
    <t>L19</t>
  </si>
  <si>
    <t>Saída de produto</t>
  </si>
  <si>
    <t>MDW-C25</t>
  </si>
  <si>
    <t>L20</t>
  </si>
  <si>
    <t>Controle de qualidade</t>
  </si>
  <si>
    <t>QDL-7</t>
  </si>
  <si>
    <t>L21</t>
  </si>
  <si>
    <t>Banheiros</t>
  </si>
  <si>
    <t>Lu4-Lu5*</t>
  </si>
  <si>
    <t>fase mais carregada é a R com 19920</t>
  </si>
  <si>
    <t>Lu4-Lu5</t>
  </si>
  <si>
    <t>Fatores de correção</t>
  </si>
  <si>
    <t>Circuitos agrupados</t>
  </si>
  <si>
    <t>Fator de agrupamento</t>
  </si>
  <si>
    <t>Fator de temperatura (45ºC)</t>
  </si>
  <si>
    <t>Fator de harmônicos</t>
  </si>
  <si>
    <t>Isolação</t>
  </si>
  <si>
    <t>Ip' (A)</t>
  </si>
  <si>
    <t>Iz (A)</t>
  </si>
  <si>
    <t>Iz'</t>
  </si>
  <si>
    <t>Potência Unitária</t>
  </si>
  <si>
    <t>Circuito L1</t>
  </si>
  <si>
    <t>QDL1-Lu1</t>
  </si>
  <si>
    <t>MDW-C16</t>
  </si>
  <si>
    <t>total</t>
  </si>
  <si>
    <t>QDL5 - Escritório</t>
  </si>
  <si>
    <t>Lu3-Lu4*</t>
  </si>
  <si>
    <t>MDW-C6</t>
  </si>
  <si>
    <t>QDL6 - Sala de produto e controle de qualidade</t>
  </si>
  <si>
    <t xml:space="preserve">QDL2 - Compressor </t>
  </si>
  <si>
    <t>Circuito L2</t>
  </si>
  <si>
    <t>QDL2-Lu1</t>
  </si>
  <si>
    <t>QDL7 - Banheiro</t>
  </si>
  <si>
    <t>Lu2-Lu3*</t>
  </si>
  <si>
    <t>Lu1-Lu4</t>
  </si>
  <si>
    <t>Lu5-Lu6*</t>
  </si>
  <si>
    <t>QDL3 - Depósito de Carcaças</t>
  </si>
  <si>
    <t>QDL3 - Depósito de Carcaça</t>
  </si>
  <si>
    <t>Circuito L3</t>
  </si>
  <si>
    <t>QDL3-Lu1</t>
  </si>
  <si>
    <t>-</t>
  </si>
  <si>
    <t>Seção dos condutores (mm²)</t>
  </si>
  <si>
    <t>Fase</t>
  </si>
  <si>
    <t>TOTAL =</t>
  </si>
  <si>
    <t>Neutro</t>
  </si>
  <si>
    <t>Terra</t>
  </si>
  <si>
    <t>QDF-1</t>
  </si>
  <si>
    <t>T1</t>
  </si>
  <si>
    <t>T2</t>
  </si>
  <si>
    <t>QDF-2</t>
  </si>
  <si>
    <t>T3</t>
  </si>
  <si>
    <t>T4</t>
  </si>
  <si>
    <t>QDF-3</t>
  </si>
  <si>
    <t>T5</t>
  </si>
  <si>
    <t>T6</t>
  </si>
  <si>
    <t>QDF-4</t>
  </si>
  <si>
    <t>T7</t>
  </si>
  <si>
    <t>T8</t>
  </si>
  <si>
    <t>T9</t>
  </si>
  <si>
    <t>T10</t>
  </si>
  <si>
    <t>QDF-5</t>
  </si>
  <si>
    <t>T11</t>
  </si>
  <si>
    <t>T12</t>
  </si>
  <si>
    <t>QDF-6</t>
  </si>
  <si>
    <t>T13</t>
  </si>
  <si>
    <t>T14</t>
  </si>
  <si>
    <t>T15</t>
  </si>
  <si>
    <t>T16</t>
  </si>
  <si>
    <t>QDF-7</t>
  </si>
  <si>
    <t>QDL4 - Raspa</t>
  </si>
  <si>
    <t>T17</t>
  </si>
  <si>
    <t>T18</t>
  </si>
  <si>
    <t>Circuito L17</t>
  </si>
  <si>
    <t>ΔV = 2 × IP × L × (RCAT cosφ + XLsenφ )</t>
  </si>
  <si>
    <t>T19</t>
  </si>
  <si>
    <t>ΔV% = ΔV</t>
  </si>
  <si>
    <t>T20</t>
  </si>
  <si>
    <t>QDF-0</t>
  </si>
  <si>
    <t>Ncp ×Vfn</t>
  </si>
  <si>
    <t>T0</t>
  </si>
  <si>
    <t>SUBESTAÇÃO</t>
  </si>
  <si>
    <t>SOMA</t>
  </si>
  <si>
    <t>QDL4-Lu1</t>
  </si>
  <si>
    <t>ΔV [V]</t>
  </si>
  <si>
    <t>ΔV [%]</t>
  </si>
  <si>
    <t>ΔV[%]*</t>
  </si>
  <si>
    <t>Lu1-Lu9</t>
  </si>
  <si>
    <t>Lu9-Lu10</t>
  </si>
  <si>
    <t>Lu10-Lu11</t>
  </si>
  <si>
    <t>Lu11-Lu12*</t>
  </si>
  <si>
    <t>Lu5-Lu6</t>
  </si>
  <si>
    <t>Lu6-Lu7*</t>
  </si>
  <si>
    <t>Lu9-Lu13</t>
  </si>
  <si>
    <t>QDL1 - Sala de caldeiras</t>
  </si>
  <si>
    <t>Lu13-Lu14</t>
  </si>
  <si>
    <t>Lu14-Lu15</t>
  </si>
  <si>
    <t>Lu15-Lu16</t>
  </si>
  <si>
    <t>Corrente nominal [A]</t>
  </si>
  <si>
    <t>Tensão [V]</t>
  </si>
  <si>
    <t>Método de instalação</t>
  </si>
  <si>
    <t>Método de referência</t>
  </si>
  <si>
    <t>Lu1-Lu4*</t>
  </si>
  <si>
    <t>Potência aparente (VA)</t>
  </si>
  <si>
    <t>Área</t>
  </si>
  <si>
    <t>Largura</t>
  </si>
  <si>
    <t xml:space="preserve">Comprimento </t>
  </si>
  <si>
    <t>Perimetro</t>
  </si>
  <si>
    <t>nº de TUGs</t>
  </si>
  <si>
    <t>Stugs</t>
  </si>
  <si>
    <t>TUEs</t>
  </si>
  <si>
    <t>QDL2 - Sala do Compressor</t>
  </si>
  <si>
    <t>MDWH-C10</t>
  </si>
  <si>
    <t>analisar planta</t>
  </si>
  <si>
    <t>Circuito L18</t>
  </si>
  <si>
    <t>Circuito L12</t>
  </si>
  <si>
    <t>1 ar condicionado</t>
  </si>
  <si>
    <t>2 ar condicionado</t>
  </si>
  <si>
    <t>QDL5-Lu1</t>
  </si>
  <si>
    <t>3 ar condicionado</t>
  </si>
  <si>
    <t>MDWH-C100</t>
  </si>
  <si>
    <t>3 chuveiros</t>
  </si>
  <si>
    <t>MDWH-C10-3</t>
  </si>
  <si>
    <t>Total</t>
  </si>
  <si>
    <t>RQDL-1</t>
  </si>
  <si>
    <t>RQDL-2</t>
  </si>
  <si>
    <t>RQDL-3</t>
  </si>
  <si>
    <t>QDL4 - Recapagem</t>
  </si>
  <si>
    <t>quadro mais longe?</t>
  </si>
  <si>
    <t>Circuito L4</t>
  </si>
  <si>
    <t>QDGL-QDL5</t>
  </si>
  <si>
    <t>Fator de temperatura (50ºC)</t>
  </si>
  <si>
    <t>IZ' (A)</t>
  </si>
  <si>
    <t>QGDL</t>
  </si>
  <si>
    <t>QDL6 - Saída de Produto</t>
  </si>
  <si>
    <t>Circuito L19</t>
  </si>
  <si>
    <t>POTENCIA FASE MAIS CARREGADA DO QGDL</t>
  </si>
  <si>
    <t>Lu6-Lu7</t>
  </si>
  <si>
    <t>usei B1 7</t>
  </si>
  <si>
    <t>Lu7-Lu8</t>
  </si>
  <si>
    <t>QDL6-Lu1</t>
  </si>
  <si>
    <t>Lu8-Lu9*</t>
  </si>
  <si>
    <t>Circuito L5</t>
  </si>
  <si>
    <t>Lu8-Lu9</t>
  </si>
  <si>
    <t>L10-Lu11*</t>
  </si>
  <si>
    <t>QDL6 - Controle de qualidade</t>
  </si>
  <si>
    <t>QDL6 - Controle de Qualidade</t>
  </si>
  <si>
    <t>Circuito L6</t>
  </si>
  <si>
    <t>Circuito L20</t>
  </si>
  <si>
    <t>Lu1-Lu5</t>
  </si>
  <si>
    <t>Circuito L7</t>
  </si>
  <si>
    <t>Lu7-Lu8*</t>
  </si>
  <si>
    <t>Circuito L8</t>
  </si>
  <si>
    <t>Circuito L9</t>
  </si>
  <si>
    <t>QDL7 - Banheiros</t>
  </si>
  <si>
    <t>Circuito L21</t>
  </si>
  <si>
    <t>QDL7-Lu1</t>
  </si>
  <si>
    <t>Circuito L10</t>
  </si>
  <si>
    <t>Circuito L11</t>
  </si>
  <si>
    <t>Disjuntor (A)</t>
  </si>
  <si>
    <t>Iz' (A)</t>
  </si>
  <si>
    <t>In (A)</t>
  </si>
  <si>
    <t>Iz'&gt;In&gt;Ip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</si>
</sst>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"/>
    <numFmt numFmtId="165" formatCode="0.0000%"/>
    <numFmt numFmtId="166" formatCode="0.0"/>
    <numFmt numFmtId="167" formatCode="0.0000"/>
  </numFmts>
  <fonts count="20">
    <font>
      <sz val="10.0"/>
      <color rgb="FF000000"/>
      <name val="Verdana"/>
      <scheme val="minor"/>
    </font>
    <font>
      <b/>
      <sz val="10.0"/>
      <color rgb="FFFFFFFF"/>
      <name val="Verdana"/>
    </font>
    <font/>
    <font>
      <sz val="10.0"/>
      <color theme="1"/>
      <name val="Verdana"/>
    </font>
    <font>
      <b/>
      <sz val="10.0"/>
      <color theme="1"/>
      <name val="Verdana"/>
    </font>
    <font>
      <b/>
      <sz val="10.0"/>
      <color rgb="FF000000"/>
      <name val="Arial"/>
    </font>
    <font>
      <sz val="10.0"/>
      <color rgb="FF000000"/>
      <name val="Arial"/>
    </font>
    <font>
      <b/>
      <sz val="10.0"/>
      <color theme="1"/>
      <name val="Arial"/>
    </font>
    <font>
      <b/>
      <sz val="10.0"/>
      <color rgb="FF1A2F40"/>
      <name val="Verdana"/>
    </font>
    <font>
      <sz val="10.0"/>
      <color rgb="FF000000"/>
      <name val="Verdana"/>
    </font>
    <font>
      <sz val="10.0"/>
      <color theme="1"/>
      <name val="Arial"/>
    </font>
    <font>
      <sz val="10.0"/>
      <color rgb="FF1A2F40"/>
      <name val="Arial"/>
    </font>
    <font>
      <b/>
      <sz val="12.0"/>
      <color theme="1"/>
      <name val="Verdana"/>
    </font>
    <font>
      <sz val="9.0"/>
      <color rgb="FF000000"/>
      <name val="Arial"/>
    </font>
    <font>
      <color theme="1"/>
      <name val="Verdana"/>
    </font>
    <font>
      <sz val="11.0"/>
      <color rgb="FF000000"/>
      <name val="Arial"/>
    </font>
    <font>
      <sz val="10.0"/>
      <color rgb="FF1A2F40"/>
      <name val="Verdana"/>
    </font>
    <font>
      <color rgb="FF1A2F40"/>
      <name val="Arial"/>
    </font>
    <font>
      <b/>
      <sz val="10.0"/>
      <color rgb="FF202124"/>
      <name val="Arial"/>
    </font>
    <font>
      <b/>
      <sz val="10.0"/>
      <color rgb="FF1A2F4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45818E"/>
        <bgColor rgb="FF45818E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E1EAF2"/>
        <bgColor rgb="FFE1EAF2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E8F0FE"/>
        <bgColor rgb="FFE8F0FE"/>
      </patternFill>
    </fill>
  </fills>
  <borders count="3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/>
    </border>
    <border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</border>
    <border>
      <left/>
      <top style="thin">
        <color rgb="FF000000"/>
      </top>
      <bottom style="thin">
        <color rgb="FF000000"/>
      </bottom>
    </border>
    <border>
      <left/>
      <right/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/>
      <bottom/>
    </border>
    <border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  <bottom/>
    </border>
    <border>
      <top/>
      <bottom/>
    </border>
    <border>
      <left/>
      <right/>
      <top style="thin">
        <color rgb="FF000000"/>
      </top>
      <bottom/>
    </border>
    <border>
      <left/>
      <right/>
      <top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vertical="center"/>
    </xf>
    <xf borderId="4" fillId="3" fontId="4" numFmtId="0" xfId="0" applyAlignment="1" applyBorder="1" applyFill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5" fillId="4" fontId="5" numFmtId="0" xfId="0" applyAlignment="1" applyBorder="1" applyFill="1" applyFont="1">
      <alignment horizontal="center" vertical="center"/>
    </xf>
    <xf borderId="6" fillId="0" fontId="2" numFmtId="0" xfId="0" applyBorder="1" applyFont="1"/>
    <xf borderId="7" fillId="4" fontId="5" numFmtId="0" xfId="0" applyAlignment="1" applyBorder="1" applyFill="1" applyFont="1">
      <alignment horizontal="center" vertical="center"/>
    </xf>
    <xf borderId="8" fillId="4" fontId="5" numFmtId="0" xfId="0" applyAlignment="1" applyBorder="1" applyFill="1" applyFont="1">
      <alignment horizontal="center" vertical="center"/>
    </xf>
    <xf borderId="9" fillId="4" fontId="5" numFmtId="0" xfId="0" applyAlignment="1" applyBorder="1" applyFill="1" applyFont="1">
      <alignment horizontal="center" vertical="center"/>
    </xf>
    <xf borderId="7" fillId="4" fontId="5" numFmtId="164" xfId="0" applyAlignment="1" applyBorder="1" applyFill="1" applyFont="1" applyNumberFormat="1">
      <alignment horizontal="center" vertical="center"/>
    </xf>
    <xf borderId="10" fillId="0" fontId="2" numFmtId="0" xfId="0" applyBorder="1" applyFont="1"/>
    <xf borderId="11" fillId="4" fontId="6" numFmtId="0" xfId="0" applyAlignment="1" applyBorder="1" applyFill="1" applyFont="1">
      <alignment horizontal="center" vertical="center"/>
    </xf>
    <xf borderId="11" fillId="4" fontId="6" numFmtId="164" xfId="0" applyAlignment="1" applyBorder="1" applyFill="1" applyFont="1" applyNumberFormat="1">
      <alignment horizontal="center" vertical="center"/>
    </xf>
    <xf borderId="0" fillId="0" fontId="3" numFmtId="0" xfId="0" applyAlignment="1" applyFont="1">
      <alignment horizontal="center"/>
    </xf>
    <xf borderId="12" fillId="4" fontId="6" numFmtId="0" xfId="0" applyAlignment="1" applyBorder="1" applyFill="1" applyFont="1">
      <alignment horizontal="center" vertical="center"/>
    </xf>
    <xf borderId="12" fillId="4" fontId="6" numFmtId="164" xfId="0" applyAlignment="1" applyBorder="1" applyFill="1" applyFont="1" applyNumberFormat="1">
      <alignment horizontal="center" vertical="center"/>
    </xf>
    <xf borderId="13" fillId="0" fontId="3" numFmtId="0" xfId="0" applyAlignment="1" applyBorder="1" applyFont="1">
      <alignment horizontal="center"/>
    </xf>
    <xf borderId="11" fillId="4" fontId="6" numFmtId="0" xfId="0" applyAlignment="1" applyBorder="1" applyFill="1" applyFont="1">
      <alignment horizontal="center" vertical="center"/>
    </xf>
    <xf borderId="14" fillId="5" fontId="7" numFmtId="0" xfId="0" applyAlignment="1" applyBorder="1" applyFill="1" applyFont="1">
      <alignment horizontal="center" vertical="center"/>
    </xf>
    <xf borderId="11" fillId="4" fontId="6" numFmtId="164" xfId="0" applyAlignment="1" applyBorder="1" applyFill="1" applyFont="1" applyNumberFormat="1">
      <alignment horizontal="center" vertical="center"/>
    </xf>
    <xf borderId="15" fillId="0" fontId="2" numFmtId="0" xfId="0" applyBorder="1" applyFont="1"/>
    <xf borderId="0" fillId="0" fontId="8" numFmtId="0" xfId="0" applyAlignment="1" applyFont="1">
      <alignment horizontal="center" vertical="center"/>
    </xf>
    <xf borderId="11" fillId="4" fontId="6" numFmtId="2" xfId="0" applyAlignment="1" applyBorder="1" applyFill="1" applyFont="1" applyNumberFormat="1">
      <alignment horizontal="center" vertical="center"/>
    </xf>
    <xf borderId="16" fillId="2" fontId="1" numFmtId="0" xfId="0" applyAlignment="1" applyBorder="1" applyFill="1" applyFont="1">
      <alignment horizontal="center" shrinkToFit="0" vertical="center" wrapText="1"/>
    </xf>
    <xf borderId="11" fillId="4" fontId="6" numFmtId="1" xfId="0" applyAlignment="1" applyBorder="1" applyFill="1" applyFont="1" applyNumberFormat="1">
      <alignment horizontal="center" vertical="center"/>
    </xf>
    <xf borderId="17" fillId="2" fontId="1" numFmtId="0" xfId="0" applyAlignment="1" applyBorder="1" applyFill="1" applyFont="1">
      <alignment horizontal="center" vertical="center"/>
    </xf>
    <xf borderId="4" fillId="5" fontId="7" numFmtId="0" xfId="0" applyAlignment="1" applyBorder="1" applyFill="1" applyFont="1">
      <alignment horizontal="center" shrinkToFit="0" vertical="center" wrapText="1"/>
    </xf>
    <xf borderId="12" fillId="4" fontId="5" numFmtId="0" xfId="0" applyAlignment="1" applyBorder="1" applyFill="1" applyFont="1">
      <alignment horizontal="center" shrinkToFit="0" vertical="center" wrapText="1"/>
    </xf>
    <xf borderId="7" fillId="2" fontId="1" numFmtId="0" xfId="0" applyAlignment="1" applyBorder="1" applyFill="1" applyFont="1">
      <alignment horizontal="center" vertical="center"/>
    </xf>
    <xf borderId="18" fillId="2" fontId="1" numFmtId="0" xfId="0" applyAlignment="1" applyBorder="1" applyFill="1" applyFont="1">
      <alignment horizontal="center" vertical="center"/>
    </xf>
    <xf borderId="0" fillId="0" fontId="9" numFmtId="1" xfId="0" applyAlignment="1" applyFont="1" applyNumberFormat="1">
      <alignment horizontal="center"/>
    </xf>
    <xf borderId="19" fillId="0" fontId="2" numFmtId="0" xfId="0" applyBorder="1" applyFont="1"/>
    <xf borderId="20" fillId="5" fontId="7" numFmtId="164" xfId="0" applyAlignment="1" applyBorder="1" applyFill="1" applyFont="1" applyNumberFormat="1">
      <alignment horizontal="center" shrinkToFit="0" vertical="center" wrapText="1"/>
    </xf>
    <xf borderId="4" fillId="2" fontId="1" numFmtId="0" xfId="0" applyAlignment="1" applyBorder="1" applyFill="1" applyFont="1">
      <alignment horizontal="center" vertical="center"/>
    </xf>
    <xf borderId="12" fillId="6" fontId="3" numFmtId="0" xfId="0" applyBorder="1" applyFill="1" applyFont="1"/>
    <xf borderId="0" fillId="0" fontId="9" numFmtId="3" xfId="0" applyAlignment="1" applyFont="1" applyNumberFormat="1">
      <alignment horizontal="center"/>
    </xf>
    <xf borderId="4" fillId="5" fontId="10" numFmtId="0" xfId="0" applyAlignment="1" applyBorder="1" applyFill="1" applyFont="1">
      <alignment horizontal="center" vertical="center"/>
    </xf>
    <xf borderId="21" fillId="0" fontId="2" numFmtId="0" xfId="0" applyBorder="1" applyFont="1"/>
    <xf borderId="4" fillId="0" fontId="10" numFmtId="0" xfId="0" applyAlignment="1" applyBorder="1" applyFont="1">
      <alignment horizontal="center" vertical="center"/>
    </xf>
    <xf borderId="4" fillId="0" fontId="11" numFmtId="0" xfId="0" applyAlignment="1" applyBorder="1" applyFont="1">
      <alignment horizontal="center" vertical="center"/>
    </xf>
    <xf borderId="1" fillId="0" fontId="12" numFmtId="0" xfId="0" applyAlignment="1" applyBorder="1" applyFont="1">
      <alignment horizontal="center" vertical="center"/>
    </xf>
    <xf borderId="4" fillId="0" fontId="11" numFmtId="3" xfId="0" applyAlignment="1" applyBorder="1" applyFont="1" applyNumberFormat="1">
      <alignment horizontal="center" vertical="center"/>
    </xf>
    <xf borderId="4" fillId="0" fontId="11" numFmtId="1" xfId="0" applyAlignment="1" applyBorder="1" applyFont="1" applyNumberFormat="1">
      <alignment horizontal="center" vertical="center"/>
    </xf>
    <xf borderId="22" fillId="4" fontId="5" numFmtId="0" xfId="0" applyAlignment="1" applyBorder="1" applyFill="1" applyFont="1">
      <alignment horizontal="center" vertical="center"/>
    </xf>
    <xf borderId="23" fillId="0" fontId="2" numFmtId="0" xfId="0" applyBorder="1" applyFont="1"/>
    <xf borderId="1" fillId="4" fontId="5" numFmtId="0" xfId="0" applyAlignment="1" applyBorder="1" applyFill="1" applyFont="1">
      <alignment horizontal="center" vertical="center"/>
    </xf>
    <xf borderId="4" fillId="0" fontId="10" numFmtId="2" xfId="0" applyAlignment="1" applyBorder="1" applyFont="1" applyNumberFormat="1">
      <alignment horizontal="center" vertical="center"/>
    </xf>
    <xf borderId="12" fillId="4" fontId="3" numFmtId="0" xfId="0" applyBorder="1" applyFill="1" applyFont="1"/>
    <xf borderId="4" fillId="0" fontId="11" numFmtId="0" xfId="0" applyAlignment="1" applyBorder="1" applyFont="1">
      <alignment horizontal="center" shrinkToFit="0" vertical="center" wrapText="1"/>
    </xf>
    <xf borderId="7" fillId="4" fontId="5" numFmtId="0" xfId="0" applyAlignment="1" applyBorder="1" applyFill="1" applyFont="1">
      <alignment horizontal="center" readingOrder="0" shrinkToFit="0" vertical="center" wrapText="0"/>
    </xf>
    <xf borderId="0" fillId="0" fontId="3" numFmtId="164" xfId="0" applyAlignment="1" applyFont="1" applyNumberFormat="1">
      <alignment horizontal="center" vertical="center"/>
    </xf>
    <xf borderId="4" fillId="0" fontId="10" numFmtId="3" xfId="0" applyAlignment="1" applyBorder="1" applyFont="1" applyNumberFormat="1">
      <alignment horizontal="center" vertical="center"/>
    </xf>
    <xf borderId="12" fillId="4" fontId="3" numFmtId="0" xfId="0" applyAlignment="1" applyBorder="1" applyFill="1" applyFont="1">
      <alignment horizontal="center"/>
    </xf>
    <xf borderId="11" fillId="7" fontId="3" numFmtId="0" xfId="0" applyAlignment="1" applyBorder="1" applyFill="1" applyFont="1">
      <alignment horizontal="center"/>
    </xf>
    <xf borderId="12" fillId="3" fontId="4" numFmtId="0" xfId="0" applyAlignment="1" applyBorder="1" applyFill="1" applyFont="1">
      <alignment horizontal="center" vertical="center"/>
    </xf>
    <xf borderId="4" fillId="0" fontId="10" numFmtId="0" xfId="0" applyAlignment="1" applyBorder="1" applyFont="1">
      <alignment horizontal="center" shrinkToFit="0" vertical="center" wrapText="1"/>
    </xf>
    <xf borderId="4" fillId="4" fontId="5" numFmtId="0" xfId="0" applyAlignment="1" applyBorder="1" applyFill="1" applyFont="1">
      <alignment horizontal="center" readingOrder="0" shrinkToFit="0" vertical="center" wrapText="0"/>
    </xf>
    <xf borderId="4" fillId="8" fontId="3" numFmtId="0" xfId="0" applyAlignment="1" applyBorder="1" applyFill="1" applyFont="1">
      <alignment horizontal="center" vertical="center"/>
    </xf>
    <xf borderId="12" fillId="4" fontId="3" numFmtId="0" xfId="0" applyAlignment="1" applyBorder="1" applyFill="1" applyFont="1">
      <alignment horizontal="center"/>
    </xf>
    <xf borderId="12" fillId="4" fontId="6" numFmtId="0" xfId="0" applyAlignment="1" applyBorder="1" applyFill="1" applyFont="1">
      <alignment horizontal="center" shrinkToFit="0" vertical="center" wrapText="0"/>
    </xf>
    <xf borderId="11" fillId="4" fontId="3" numFmtId="0" xfId="0" applyAlignment="1" applyBorder="1" applyFill="1" applyFont="1">
      <alignment horizontal="center"/>
    </xf>
    <xf borderId="12" fillId="4" fontId="6" numFmtId="164" xfId="0" applyAlignment="1" applyBorder="1" applyFill="1" applyFont="1" applyNumberFormat="1">
      <alignment horizontal="center" shrinkToFit="0" vertical="center" wrapText="0"/>
    </xf>
    <xf borderId="4" fillId="0" fontId="10" numFmtId="1" xfId="0" applyAlignment="1" applyBorder="1" applyFont="1" applyNumberFormat="1">
      <alignment horizontal="center" vertical="center"/>
    </xf>
    <xf borderId="12" fillId="4" fontId="6" numFmtId="2" xfId="0" applyAlignment="1" applyBorder="1" applyFill="1" applyFont="1" applyNumberFormat="1">
      <alignment horizontal="center" shrinkToFit="0" vertical="center" wrapText="0"/>
    </xf>
    <xf borderId="16" fillId="5" fontId="10" numFmtId="0" xfId="0" applyAlignment="1" applyBorder="1" applyFill="1" applyFont="1">
      <alignment horizontal="center" vertical="center"/>
    </xf>
    <xf borderId="16" fillId="0" fontId="10" numFmtId="0" xfId="0" applyAlignment="1" applyBorder="1" applyFont="1">
      <alignment horizontal="center" shrinkToFit="0" vertical="center" wrapText="1"/>
    </xf>
    <xf borderId="4" fillId="0" fontId="6" numFmtId="3" xfId="0" applyAlignment="1" applyBorder="1" applyFont="1" applyNumberFormat="1">
      <alignment horizontal="center" vertical="center"/>
    </xf>
    <xf borderId="12" fillId="4" fontId="6" numFmtId="0" xfId="0" applyAlignment="1" applyBorder="1" applyFill="1" applyFont="1">
      <alignment horizontal="center" vertical="center"/>
    </xf>
    <xf borderId="24" fillId="4" fontId="5" numFmtId="0" xfId="0" applyAlignment="1" applyBorder="1" applyFill="1" applyFont="1">
      <alignment horizontal="center" vertical="center"/>
    </xf>
    <xf borderId="7" fillId="4" fontId="5" numFmtId="0" xfId="0" applyAlignment="1" applyBorder="1" applyFill="1" applyFont="1">
      <alignment horizontal="center" vertical="center"/>
    </xf>
    <xf borderId="7" fillId="4" fontId="5" numFmtId="164" xfId="0" applyAlignment="1" applyBorder="1" applyFill="1" applyFont="1" applyNumberFormat="1">
      <alignment horizontal="center" vertical="center"/>
    </xf>
    <xf borderId="12" fillId="4" fontId="6" numFmtId="10" xfId="0" applyAlignment="1" applyBorder="1" applyFill="1" applyFont="1" applyNumberFormat="1">
      <alignment horizontal="center" shrinkToFit="0" vertical="center" wrapText="0"/>
    </xf>
    <xf borderId="0" fillId="0" fontId="3" numFmtId="2" xfId="0" applyAlignment="1" applyFont="1" applyNumberFormat="1">
      <alignment horizontal="center" vertical="center"/>
    </xf>
    <xf borderId="4" fillId="4" fontId="6" numFmtId="0" xfId="0" applyAlignment="1" applyBorder="1" applyFill="1" applyFont="1">
      <alignment horizontal="center" shrinkToFit="0" vertical="center" wrapText="0"/>
    </xf>
    <xf borderId="4" fillId="4" fontId="6" numFmtId="164" xfId="0" applyAlignment="1" applyBorder="1" applyFill="1" applyFont="1" applyNumberFormat="1">
      <alignment horizontal="center" shrinkToFit="0" vertical="center" wrapText="0"/>
    </xf>
    <xf borderId="12" fillId="4" fontId="6" numFmtId="2" xfId="0" applyAlignment="1" applyBorder="1" applyFill="1" applyFont="1" applyNumberFormat="1">
      <alignment horizontal="center" vertical="center"/>
    </xf>
    <xf borderId="4" fillId="4" fontId="6" numFmtId="165" xfId="0" applyAlignment="1" applyBorder="1" applyFill="1" applyFont="1" applyNumberFormat="1">
      <alignment horizontal="center" shrinkToFit="0" vertical="center" wrapText="0"/>
    </xf>
    <xf borderId="4" fillId="4" fontId="6" numFmtId="10" xfId="0" applyAlignment="1" applyBorder="1" applyFill="1" applyFont="1" applyNumberFormat="1">
      <alignment horizontal="center" shrinkToFit="0" vertical="center" wrapText="0"/>
    </xf>
    <xf borderId="1" fillId="2" fontId="1" numFmtId="0" xfId="0" applyAlignment="1" applyBorder="1" applyFill="1" applyFont="1">
      <alignment horizontal="center" shrinkToFit="0" vertical="center" wrapText="1"/>
    </xf>
    <xf borderId="16" fillId="2" fontId="1" numFmtId="0" xfId="0" applyAlignment="1" applyBorder="1" applyFill="1" applyFont="1">
      <alignment horizontal="center" vertical="center"/>
    </xf>
    <xf borderId="0" fillId="0" fontId="13" numFmtId="0" xfId="0" applyFont="1"/>
    <xf borderId="12" fillId="4" fontId="6" numFmtId="164" xfId="0" applyAlignment="1" applyBorder="1" applyFill="1" applyFont="1" applyNumberFormat="1">
      <alignment horizontal="center" vertical="center"/>
    </xf>
    <xf borderId="12" fillId="4" fontId="6" numFmtId="10" xfId="0" applyAlignment="1" applyBorder="1" applyFill="1" applyFont="1" applyNumberFormat="1">
      <alignment horizontal="center" vertical="center"/>
    </xf>
    <xf borderId="4" fillId="4" fontId="6" numFmtId="0" xfId="0" applyAlignment="1" applyBorder="1" applyFill="1" applyFont="1">
      <alignment horizontal="center" vertical="center"/>
    </xf>
    <xf borderId="12" fillId="4" fontId="6" numFmtId="1" xfId="0" applyAlignment="1" applyBorder="1" applyFill="1" applyFont="1" applyNumberFormat="1">
      <alignment horizontal="center" vertical="center"/>
    </xf>
    <xf borderId="4" fillId="4" fontId="6" numFmtId="164" xfId="0" applyAlignment="1" applyBorder="1" applyFill="1" applyFont="1" applyNumberFormat="1">
      <alignment horizontal="center" vertical="center"/>
    </xf>
    <xf borderId="4" fillId="4" fontId="6" numFmtId="165" xfId="0" applyAlignment="1" applyBorder="1" applyFill="1" applyFont="1" applyNumberFormat="1">
      <alignment horizontal="center" vertical="center"/>
    </xf>
    <xf borderId="0" fillId="0" fontId="3" numFmtId="164" xfId="0" applyFont="1" applyNumberFormat="1"/>
    <xf borderId="4" fillId="4" fontId="6" numFmtId="10" xfId="0" applyAlignment="1" applyBorder="1" applyFill="1" applyFont="1" applyNumberFormat="1">
      <alignment horizontal="center" vertical="center"/>
    </xf>
    <xf borderId="12" fillId="8" fontId="6" numFmtId="0" xfId="0" applyAlignment="1" applyBorder="1" applyFill="1" applyFont="1">
      <alignment horizontal="center" vertical="center"/>
    </xf>
    <xf borderId="11" fillId="4" fontId="6" numFmtId="10" xfId="0" applyAlignment="1" applyBorder="1" applyFill="1" applyFont="1" applyNumberFormat="1">
      <alignment horizontal="center" vertical="center"/>
    </xf>
    <xf borderId="12" fillId="4" fontId="10" numFmtId="0" xfId="0" applyAlignment="1" applyBorder="1" applyFill="1" applyFont="1">
      <alignment horizontal="center" vertical="center"/>
    </xf>
    <xf borderId="4" fillId="4" fontId="6" numFmtId="0" xfId="0" applyAlignment="1" applyBorder="1" applyFill="1" applyFont="1">
      <alignment horizontal="center" shrinkToFit="0" vertical="center" wrapText="1"/>
    </xf>
    <xf borderId="1" fillId="5" fontId="7" numFmtId="0" xfId="0" applyAlignment="1" applyBorder="1" applyFill="1" applyFont="1">
      <alignment horizontal="center" vertical="center"/>
    </xf>
    <xf borderId="20" fillId="5" fontId="7" numFmtId="0" xfId="0" applyAlignment="1" applyBorder="1" applyFill="1" applyFont="1">
      <alignment horizontal="center" shrinkToFit="0" vertical="center" wrapText="1"/>
    </xf>
    <xf borderId="12" fillId="4" fontId="6" numFmtId="0" xfId="0" applyAlignment="1" applyBorder="1" applyFill="1" applyFont="1">
      <alignment horizontal="center" shrinkToFit="0" vertical="center" wrapText="1"/>
    </xf>
    <xf borderId="12" fillId="4" fontId="6" numFmtId="165" xfId="0" applyAlignment="1" applyBorder="1" applyFill="1" applyFont="1" applyNumberFormat="1">
      <alignment horizontal="center" vertical="center"/>
    </xf>
    <xf borderId="4" fillId="5" fontId="7" numFmtId="0" xfId="0" applyAlignment="1" applyBorder="1" applyFill="1" applyFont="1">
      <alignment horizontal="center" vertical="center"/>
    </xf>
    <xf borderId="0" fillId="0" fontId="3" numFmtId="0" xfId="0" applyFont="1"/>
    <xf borderId="12" fillId="4" fontId="3" numFmtId="164" xfId="0" applyBorder="1" applyFill="1" applyFont="1" applyNumberFormat="1"/>
    <xf borderId="14" fillId="4" fontId="5" numFmtId="0" xfId="0" applyAlignment="1" applyBorder="1" applyFill="1" applyFont="1">
      <alignment horizontal="center" vertical="center"/>
    </xf>
    <xf borderId="4" fillId="4" fontId="10" numFmtId="2" xfId="0" applyAlignment="1" applyBorder="1" applyFill="1" applyFont="1" applyNumberFormat="1">
      <alignment horizontal="center" vertical="center"/>
    </xf>
    <xf borderId="4" fillId="0" fontId="11" numFmtId="166" xfId="0" applyAlignment="1" applyBorder="1" applyFont="1" applyNumberFormat="1">
      <alignment horizontal="center" vertical="center"/>
    </xf>
    <xf borderId="0" fillId="0" fontId="14" numFmtId="0" xfId="0" applyFont="1"/>
    <xf borderId="4" fillId="8" fontId="10" numFmtId="0" xfId="0" applyAlignment="1" applyBorder="1" applyFill="1" applyFont="1">
      <alignment horizontal="center" vertical="center"/>
    </xf>
    <xf borderId="25" fillId="4" fontId="3" numFmtId="0" xfId="0" applyAlignment="1" applyBorder="1" applyFill="1" applyFont="1">
      <alignment horizontal="center"/>
    </xf>
    <xf borderId="25" fillId="4" fontId="6" numFmtId="0" xfId="0" applyAlignment="1" applyBorder="1" applyFill="1" applyFont="1">
      <alignment horizontal="center" vertical="center"/>
    </xf>
    <xf borderId="12" fillId="4" fontId="6" numFmtId="2" xfId="0" applyAlignment="1" applyBorder="1" applyFill="1" applyFont="1" applyNumberFormat="1">
      <alignment horizontal="center" vertical="center"/>
    </xf>
    <xf borderId="12" fillId="4" fontId="6" numFmtId="1" xfId="0" applyAlignment="1" applyBorder="1" applyFill="1" applyFont="1" applyNumberFormat="1">
      <alignment horizontal="center" vertical="center"/>
    </xf>
    <xf borderId="16" fillId="5" fontId="7" numFmtId="0" xfId="0" applyAlignment="1" applyBorder="1" applyFill="1" applyFont="1">
      <alignment horizontal="center" vertical="center"/>
    </xf>
    <xf borderId="12" fillId="4" fontId="3" numFmtId="0" xfId="0" applyBorder="1" applyFill="1" applyFont="1"/>
    <xf borderId="11" fillId="4" fontId="6" numFmtId="10" xfId="0" applyAlignment="1" applyBorder="1" applyFill="1" applyFont="1" applyNumberFormat="1">
      <alignment horizontal="center" vertical="center"/>
    </xf>
    <xf borderId="12" fillId="4" fontId="5" numFmtId="0" xfId="0" applyAlignment="1" applyBorder="1" applyFill="1" applyFont="1">
      <alignment vertical="center"/>
    </xf>
    <xf borderId="11" fillId="4" fontId="6" numFmtId="0" xfId="0" applyAlignment="1" applyBorder="1" applyFill="1" applyFont="1">
      <alignment horizontal="center" shrinkToFit="0" vertical="center" wrapText="0"/>
    </xf>
    <xf borderId="11" fillId="4" fontId="6" numFmtId="164" xfId="0" applyAlignment="1" applyBorder="1" applyFill="1" applyFont="1" applyNumberFormat="1">
      <alignment horizontal="center" shrinkToFit="0" vertical="center" wrapText="0"/>
    </xf>
    <xf borderId="11" fillId="4" fontId="6" numFmtId="10" xfId="0" applyAlignment="1" applyBorder="1" applyFill="1" applyFont="1" applyNumberFormat="1">
      <alignment horizontal="center" shrinkToFit="0" vertical="center" wrapText="0"/>
    </xf>
    <xf borderId="12" fillId="9" fontId="6" numFmtId="0" xfId="0" applyAlignment="1" applyBorder="1" applyFill="1" applyFont="1">
      <alignment horizontal="center" vertical="center"/>
    </xf>
    <xf borderId="0" fillId="0" fontId="3" numFmtId="0" xfId="0" applyFont="1"/>
    <xf borderId="4" fillId="0" fontId="10" numFmtId="166" xfId="0" applyAlignment="1" applyBorder="1" applyFont="1" applyNumberFormat="1">
      <alignment horizontal="center" vertical="center"/>
    </xf>
    <xf borderId="12" fillId="4" fontId="3" numFmtId="0" xfId="0" applyAlignment="1" applyBorder="1" applyFill="1" applyFont="1">
      <alignment horizontal="center" vertical="center"/>
    </xf>
    <xf borderId="20" fillId="5" fontId="7" numFmtId="0" xfId="0" applyAlignment="1" applyBorder="1" applyFill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15" numFmtId="0" xfId="0" applyAlignment="1" applyFont="1">
      <alignment horizontal="center" vertical="center"/>
    </xf>
    <xf borderId="12" fillId="4" fontId="5" numFmtId="0" xfId="0" applyAlignment="1" applyBorder="1" applyFill="1" applyFont="1">
      <alignment horizontal="center" vertical="center"/>
    </xf>
    <xf borderId="2" fillId="0" fontId="5" numFmtId="0" xfId="0" applyAlignment="1" applyBorder="1" applyFont="1">
      <alignment horizontal="center" vertical="center"/>
    </xf>
    <xf borderId="16" fillId="4" fontId="10" numFmtId="0" xfId="0" applyAlignment="1" applyBorder="1" applyFill="1" applyFont="1">
      <alignment horizontal="center" vertical="center"/>
    </xf>
    <xf borderId="16" fillId="0" fontId="10" numFmtId="0" xfId="0" applyAlignment="1" applyBorder="1" applyFont="1">
      <alignment horizontal="center" vertical="center"/>
    </xf>
    <xf borderId="0" fillId="0" fontId="16" numFmtId="0" xfId="0" applyFont="1"/>
    <xf borderId="0" fillId="0" fontId="5" numFmtId="0" xfId="0" applyAlignment="1" applyFont="1">
      <alignment horizontal="center" vertical="center"/>
    </xf>
    <xf borderId="0" fillId="0" fontId="10" numFmtId="0" xfId="0" applyAlignment="1" applyFont="1">
      <alignment horizontal="left" vertical="center"/>
    </xf>
    <xf borderId="0" fillId="0" fontId="3" numFmtId="0" xfId="0" applyAlignment="1" applyFont="1">
      <alignment horizontal="left" vertical="center"/>
    </xf>
    <xf borderId="12" fillId="4" fontId="3" numFmtId="0" xfId="0" applyAlignment="1" applyBorder="1" applyFill="1" applyFont="1">
      <alignment horizontal="left" vertical="center"/>
    </xf>
    <xf borderId="4" fillId="0" fontId="3" numFmtId="0" xfId="0" applyAlignment="1" applyBorder="1" applyFont="1">
      <alignment horizontal="center"/>
    </xf>
    <xf borderId="4" fillId="0" fontId="16" numFmtId="0" xfId="0" applyAlignment="1" applyBorder="1" applyFont="1">
      <alignment horizontal="center"/>
    </xf>
    <xf borderId="4" fillId="4" fontId="5" numFmtId="0" xfId="0" applyAlignment="1" applyBorder="1" applyFill="1" applyFont="1">
      <alignment horizontal="center" vertical="center"/>
    </xf>
    <xf borderId="4" fillId="4" fontId="3" numFmtId="0" xfId="0" applyAlignment="1" applyBorder="1" applyFill="1" applyFont="1">
      <alignment horizontal="center"/>
    </xf>
    <xf borderId="0" fillId="0" fontId="6" numFmtId="0" xfId="0" applyAlignment="1" applyFont="1">
      <alignment horizontal="center" vertical="center"/>
    </xf>
    <xf borderId="4" fillId="0" fontId="6" numFmtId="0" xfId="0" applyAlignment="1" applyBorder="1" applyFont="1">
      <alignment horizontal="center" readingOrder="0" shrinkToFit="0" vertical="center" wrapText="0"/>
    </xf>
    <xf borderId="4" fillId="4" fontId="6" numFmtId="0" xfId="0" applyAlignment="1" applyBorder="1" applyFill="1" applyFont="1">
      <alignment horizontal="center" vertical="center"/>
    </xf>
    <xf borderId="4" fillId="4" fontId="3" numFmtId="0" xfId="0" applyAlignment="1" applyBorder="1" applyFill="1" applyFont="1">
      <alignment horizontal="center"/>
    </xf>
    <xf borderId="4" fillId="4" fontId="6" numFmtId="164" xfId="0" applyAlignment="1" applyBorder="1" applyFill="1" applyFont="1" applyNumberFormat="1">
      <alignment horizontal="center" vertical="center"/>
    </xf>
    <xf borderId="4" fillId="4" fontId="6" numFmtId="0" xfId="0" applyAlignment="1" applyBorder="1" applyFill="1" applyFont="1">
      <alignment horizontal="center" readingOrder="0" shrinkToFit="0" vertical="center" wrapText="0"/>
    </xf>
    <xf borderId="4" fillId="4" fontId="6" numFmtId="165" xfId="0" applyAlignment="1" applyBorder="1" applyFill="1" applyFont="1" applyNumberFormat="1">
      <alignment horizontal="center" vertical="center"/>
    </xf>
    <xf borderId="4" fillId="0" fontId="6" numFmtId="0" xfId="0" applyAlignment="1" applyBorder="1" applyFont="1">
      <alignment horizontal="center" shrinkToFit="0" vertical="center" wrapText="0"/>
    </xf>
    <xf borderId="4" fillId="4" fontId="6" numFmtId="10" xfId="0" applyAlignment="1" applyBorder="1" applyFill="1" applyFont="1" applyNumberFormat="1">
      <alignment horizontal="center" vertical="center"/>
    </xf>
    <xf borderId="4" fillId="0" fontId="6" numFmtId="167" xfId="0" applyAlignment="1" applyBorder="1" applyFont="1" applyNumberFormat="1">
      <alignment horizontal="center" shrinkToFit="0" vertical="center" wrapText="0"/>
    </xf>
    <xf borderId="4" fillId="0" fontId="6" numFmtId="1" xfId="0" applyAlignment="1" applyBorder="1" applyFont="1" applyNumberFormat="1">
      <alignment horizontal="center" shrinkToFit="0" vertical="center" wrapText="0"/>
    </xf>
    <xf borderId="4" fillId="0" fontId="6" numFmtId="10" xfId="0" applyAlignment="1" applyBorder="1" applyFont="1" applyNumberFormat="1">
      <alignment horizontal="center" shrinkToFit="0" vertical="center" wrapText="0"/>
    </xf>
    <xf borderId="4" fillId="0" fontId="6" numFmtId="164" xfId="0" applyAlignment="1" applyBorder="1" applyFont="1" applyNumberFormat="1">
      <alignment horizontal="center" shrinkToFit="0" vertical="center" wrapText="0"/>
    </xf>
    <xf borderId="7" fillId="4" fontId="10" numFmtId="0" xfId="0" applyAlignment="1" applyBorder="1" applyFill="1" applyFont="1">
      <alignment horizontal="center"/>
    </xf>
    <xf borderId="8" fillId="4" fontId="10" numFmtId="0" xfId="0" applyAlignment="1" applyBorder="1" applyFill="1" applyFont="1">
      <alignment horizontal="center" shrinkToFit="0" vertical="center" wrapText="1"/>
    </xf>
    <xf borderId="12" fillId="4" fontId="10" numFmtId="0" xfId="0" applyAlignment="1" applyBorder="1" applyFill="1" applyFont="1">
      <alignment horizontal="center"/>
    </xf>
    <xf borderId="12" fillId="4" fontId="10" numFmtId="2" xfId="0" applyAlignment="1" applyBorder="1" applyFill="1" applyFont="1" applyNumberFormat="1">
      <alignment horizontal="center"/>
    </xf>
    <xf borderId="12" fillId="4" fontId="11" numFmtId="0" xfId="0" applyAlignment="1" applyBorder="1" applyFill="1" applyFont="1">
      <alignment horizontal="center" vertical="center"/>
    </xf>
    <xf borderId="12" fillId="4" fontId="10" numFmtId="0" xfId="0" applyAlignment="1" applyBorder="1" applyFill="1" applyFont="1">
      <alignment horizontal="center" vertical="center"/>
    </xf>
    <xf borderId="12" fillId="4" fontId="11" numFmtId="0" xfId="0" applyAlignment="1" applyBorder="1" applyFill="1" applyFont="1">
      <alignment horizontal="center" vertical="center"/>
    </xf>
    <xf borderId="13" fillId="0" fontId="5" numFmtId="0" xfId="0" applyAlignment="1" applyBorder="1" applyFont="1">
      <alignment horizontal="center" vertical="center"/>
    </xf>
    <xf borderId="13" fillId="0" fontId="2" numFmtId="0" xfId="0" applyBorder="1" applyFont="1"/>
    <xf borderId="12" fillId="4" fontId="10" numFmtId="0" xfId="0" applyAlignment="1" applyBorder="1" applyFill="1" applyFont="1">
      <alignment horizontal="center" shrinkToFit="0" vertical="center" wrapText="1"/>
    </xf>
    <xf borderId="26" fillId="0" fontId="5" numFmtId="0" xfId="0" applyAlignment="1" applyBorder="1" applyFont="1">
      <alignment horizontal="center" vertical="center"/>
    </xf>
    <xf borderId="27" fillId="0" fontId="2" numFmtId="0" xfId="0" applyBorder="1" applyFont="1"/>
    <xf borderId="12" fillId="8" fontId="3" numFmtId="0" xfId="0" applyAlignment="1" applyBorder="1" applyFill="1" applyFont="1">
      <alignment horizontal="center" vertical="center"/>
    </xf>
    <xf borderId="28" fillId="0" fontId="2" numFmtId="0" xfId="0" applyBorder="1" applyFont="1"/>
    <xf borderId="12" fillId="4" fontId="11" numFmtId="0" xfId="0" applyAlignment="1" applyBorder="1" applyFill="1" applyFont="1">
      <alignment horizontal="center"/>
    </xf>
    <xf borderId="4" fillId="0" fontId="6" numFmtId="2" xfId="0" applyAlignment="1" applyBorder="1" applyFont="1" applyNumberFormat="1">
      <alignment horizontal="center" shrinkToFit="0" vertical="center" wrapText="0"/>
    </xf>
    <xf borderId="0" fillId="4" fontId="17" numFmtId="0" xfId="0" applyAlignment="1" applyFill="1" applyFont="1">
      <alignment horizontal="center" vertical="center"/>
    </xf>
    <xf borderId="11" fillId="4" fontId="10" numFmtId="0" xfId="0" applyAlignment="1" applyBorder="1" applyFill="1" applyFont="1">
      <alignment horizontal="center"/>
    </xf>
    <xf borderId="11" fillId="4" fontId="10" numFmtId="2" xfId="0" applyAlignment="1" applyBorder="1" applyFill="1" applyFont="1" applyNumberFormat="1">
      <alignment horizontal="center"/>
    </xf>
    <xf borderId="4" fillId="0" fontId="6" numFmtId="0" xfId="0" applyAlignment="1" applyBorder="1" applyFont="1">
      <alignment horizontal="center" vertical="center"/>
    </xf>
    <xf borderId="12" fillId="4" fontId="10" numFmtId="0" xfId="0" applyBorder="1" applyFill="1" applyFont="1"/>
    <xf borderId="4" fillId="0" fontId="6" numFmtId="2" xfId="0" applyAlignment="1" applyBorder="1" applyFont="1" applyNumberFormat="1">
      <alignment horizontal="center" vertical="center"/>
    </xf>
    <xf borderId="4" fillId="0" fontId="6" numFmtId="166" xfId="0" applyAlignment="1" applyBorder="1" applyFont="1" applyNumberFormat="1">
      <alignment horizontal="center" vertical="center"/>
    </xf>
    <xf borderId="11" fillId="4" fontId="10" numFmtId="0" xfId="0" applyAlignment="1" applyBorder="1" applyFill="1" applyFont="1">
      <alignment horizontal="center" vertical="center"/>
    </xf>
    <xf borderId="11" fillId="4" fontId="11" numFmtId="0" xfId="0" applyAlignment="1" applyBorder="1" applyFill="1" applyFont="1">
      <alignment horizontal="center" vertical="center"/>
    </xf>
    <xf borderId="4" fillId="0" fontId="6" numFmtId="10" xfId="0" applyAlignment="1" applyBorder="1" applyFont="1" applyNumberFormat="1">
      <alignment horizontal="center" vertical="center"/>
    </xf>
    <xf borderId="29" fillId="4" fontId="10" numFmtId="0" xfId="0" applyAlignment="1" applyBorder="1" applyFill="1" applyFont="1">
      <alignment horizontal="center" vertical="center"/>
    </xf>
    <xf borderId="30" fillId="0" fontId="2" numFmtId="0" xfId="0" applyBorder="1" applyFont="1"/>
    <xf borderId="20" fillId="4" fontId="10" numFmtId="0" xfId="0" applyAlignment="1" applyBorder="1" applyFill="1" applyFont="1">
      <alignment horizontal="center"/>
    </xf>
    <xf borderId="0" fillId="0" fontId="10" numFmtId="0" xfId="0" applyFont="1"/>
    <xf borderId="1" fillId="4" fontId="10" numFmtId="0" xfId="0" applyAlignment="1" applyBorder="1" applyFill="1" applyFont="1">
      <alignment horizontal="center" vertical="center"/>
    </xf>
    <xf borderId="4" fillId="4" fontId="10" numFmtId="0" xfId="0" applyAlignment="1" applyBorder="1" applyFill="1" applyFont="1">
      <alignment horizontal="center"/>
    </xf>
    <xf borderId="7" fillId="4" fontId="7" numFmtId="0" xfId="0" applyAlignment="1" applyBorder="1" applyFill="1" applyFont="1">
      <alignment horizontal="center" vertical="center"/>
    </xf>
    <xf borderId="7" fillId="4" fontId="18" numFmtId="0" xfId="0" applyAlignment="1" applyBorder="1" applyFill="1" applyFont="1">
      <alignment horizontal="center" vertical="center"/>
    </xf>
    <xf borderId="11" fillId="4" fontId="10" numFmtId="0" xfId="0" applyAlignment="1" applyBorder="1" applyFill="1" applyFont="1">
      <alignment horizontal="center" vertical="center"/>
    </xf>
    <xf borderId="11" fillId="4" fontId="10" numFmtId="167" xfId="0" applyAlignment="1" applyBorder="1" applyFill="1" applyFont="1" applyNumberFormat="1">
      <alignment horizontal="center" vertical="center"/>
    </xf>
    <xf borderId="11" fillId="4" fontId="11" numFmtId="1" xfId="0" applyAlignment="1" applyBorder="1" applyFill="1" applyFont="1" applyNumberFormat="1">
      <alignment horizontal="center" vertical="center"/>
    </xf>
    <xf borderId="4" fillId="0" fontId="6" numFmtId="166" xfId="0" applyAlignment="1" applyBorder="1" applyFont="1" applyNumberFormat="1">
      <alignment horizontal="center" shrinkToFit="0" vertical="center" wrapText="0"/>
    </xf>
    <xf borderId="11" fillId="4" fontId="10" numFmtId="10" xfId="0" applyAlignment="1" applyBorder="1" applyFill="1" applyFont="1" applyNumberFormat="1">
      <alignment horizontal="center" vertical="center"/>
    </xf>
    <xf borderId="17" fillId="4" fontId="7" numFmtId="0" xfId="0" applyAlignment="1" applyBorder="1" applyFill="1" applyFont="1">
      <alignment horizontal="center" shrinkToFit="0" vertical="center" wrapText="1"/>
    </xf>
    <xf borderId="3" fillId="0" fontId="7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4" fillId="0" fontId="19" numFmtId="0" xfId="0" applyAlignment="1" applyBorder="1" applyFont="1">
      <alignment horizontal="center" shrinkToFit="0" vertical="center" wrapText="1"/>
    </xf>
    <xf borderId="4" fillId="0" fontId="7" numFmtId="164" xfId="0" applyAlignment="1" applyBorder="1" applyFont="1" applyNumberFormat="1">
      <alignment horizontal="center" shrinkToFit="0" vertical="center" wrapText="1"/>
    </xf>
    <xf borderId="4" fillId="4" fontId="7" numFmtId="0" xfId="0" applyAlignment="1" applyBorder="1" applyFill="1" applyFont="1">
      <alignment horizontal="center" shrinkToFit="0" vertical="center" wrapText="1"/>
    </xf>
    <xf borderId="17" fillId="4" fontId="10" numFmtId="0" xfId="0" applyAlignment="1" applyBorder="1" applyFill="1" applyFont="1">
      <alignment horizontal="center" vertical="center"/>
    </xf>
    <xf borderId="3" fillId="0" fontId="10" numFmtId="0" xfId="0" applyAlignment="1" applyBorder="1" applyFont="1">
      <alignment horizontal="center" vertical="center"/>
    </xf>
    <xf borderId="4" fillId="0" fontId="10" numFmtId="164" xfId="0" applyAlignment="1" applyBorder="1" applyFont="1" applyNumberFormat="1">
      <alignment horizontal="center" vertical="center"/>
    </xf>
    <xf borderId="4" fillId="4" fontId="10" numFmtId="164" xfId="0" applyAlignment="1" applyBorder="1" applyFill="1" applyFont="1" applyNumberFormat="1">
      <alignment horizontal="center" vertical="center"/>
    </xf>
    <xf borderId="12" fillId="4" fontId="6" numFmtId="0" xfId="0" applyAlignment="1" applyBorder="1" applyFill="1" applyFont="1">
      <alignment horizontal="center" shrinkToFit="0" wrapText="1"/>
    </xf>
    <xf borderId="1" fillId="0" fontId="5" numFmtId="0" xfId="0" applyAlignment="1" applyBorder="1" applyFont="1">
      <alignment horizontal="center" vertical="center"/>
    </xf>
    <xf borderId="12" fillId="8" fontId="11" numFmtId="0" xfId="0" applyAlignment="1" applyBorder="1" applyFill="1" applyFont="1">
      <alignment horizontal="center" vertical="center"/>
    </xf>
    <xf borderId="11" fillId="4" fontId="5" numFmtId="0" xfId="0" applyAlignment="1" applyBorder="1" applyFill="1" applyFont="1">
      <alignment horizontal="center" readingOrder="0" shrinkToFit="0" vertical="center" wrapText="0"/>
    </xf>
    <xf borderId="12" fillId="8" fontId="3" numFmtId="0" xfId="0" applyBorder="1" applyFill="1" applyFont="1"/>
    <xf borderId="4" fillId="4" fontId="5" numFmtId="0" xfId="0" applyAlignment="1" applyBorder="1" applyFill="1" applyFont="1">
      <alignment horizontal="center" vertical="center"/>
    </xf>
    <xf borderId="22" fillId="4" fontId="10" numFmtId="0" xfId="0" applyAlignment="1" applyBorder="1" applyFill="1" applyFont="1">
      <alignment horizontal="center" vertical="center"/>
    </xf>
    <xf borderId="12" fillId="4" fontId="10" numFmtId="0" xfId="0" applyAlignment="1" applyBorder="1" applyFill="1" applyFont="1">
      <alignment horizontal="center"/>
    </xf>
    <xf borderId="31" fillId="0" fontId="6" numFmtId="0" xfId="0" applyAlignment="1" applyBorder="1" applyFont="1">
      <alignment horizontal="center" shrinkToFit="0" vertical="center" wrapText="0"/>
    </xf>
    <xf borderId="21" fillId="0" fontId="6" numFmtId="164" xfId="0" applyAlignment="1" applyBorder="1" applyFont="1" applyNumberFormat="1">
      <alignment horizontal="center" shrinkToFit="0" vertical="center" wrapText="0"/>
    </xf>
    <xf borderId="21" fillId="0" fontId="6" numFmtId="0" xfId="0" applyAlignment="1" applyBorder="1" applyFont="1">
      <alignment horizontal="center" shrinkToFit="0" vertical="center" wrapText="0"/>
    </xf>
    <xf borderId="16" fillId="0" fontId="6" numFmtId="0" xfId="0" applyAlignment="1" applyBorder="1" applyFont="1">
      <alignment horizontal="center" shrinkToFit="0" vertical="center" wrapText="0"/>
    </xf>
    <xf borderId="16" fillId="0" fontId="6" numFmtId="164" xfId="0" applyAlignment="1" applyBorder="1" applyFont="1" applyNumberFormat="1">
      <alignment horizontal="center" shrinkToFit="0" vertical="center" wrapText="0"/>
    </xf>
    <xf borderId="0" fillId="0" fontId="9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border>
        <left style="thin">
          <color rgb="FF5B95F9"/>
        </left>
        <right style="thin">
          <color rgb="FF5B95F9"/>
        </right>
        <top style="thin">
          <color rgb="FF5B95F9"/>
        </top>
        <bottom style="thin">
          <color rgb="FF5B95F9"/>
        </bottom>
      </border>
    </dxf>
  </dxfs>
  <tableStyles count="67">
    <tableStyle count="3" pivot="0" name="BALANÇO DE POTENCIAS QDL-style">
      <tableStyleElement dxfId="1" type="headerRow"/>
      <tableStyleElement dxfId="2" type="firstRowStripe"/>
      <tableStyleElement dxfId="3" type="secondRowStripe"/>
    </tableStyle>
    <tableStyle count="3" pivot="0" name="BALANÇO DE POTENCIAS QDL-style 2">
      <tableStyleElement dxfId="1" type="headerRow"/>
      <tableStyleElement dxfId="2" type="firstRowStripe"/>
      <tableStyleElement dxfId="3" type="secondRowStripe"/>
    </tableStyle>
    <tableStyle count="3" pivot="0" name="BALANÇO DE POTENCIAS QDL-style 3">
      <tableStyleElement dxfId="1" type="headerRow"/>
      <tableStyleElement dxfId="2" type="firstRowStripe"/>
      <tableStyleElement dxfId="3" type="secondRowStripe"/>
    </tableStyle>
    <tableStyle count="3" pivot="0" name="BALANÇO DE POTENCIAS QDL-style 4">
      <tableStyleElement dxfId="1" type="headerRow"/>
      <tableStyleElement dxfId="2" type="firstRowStripe"/>
      <tableStyleElement dxfId="3" type="secondRowStripe"/>
    </tableStyle>
    <tableStyle count="3" pivot="0" name="BALANÇO DE POTENCIAS QDL-style 5">
      <tableStyleElement dxfId="1" type="headerRow"/>
      <tableStyleElement dxfId="2" type="firstRowStripe"/>
      <tableStyleElement dxfId="3" type="secondRowStripe"/>
    </tableStyle>
    <tableStyle count="3" pivot="0" name="BALANÇO DE POTENCIAS QDL-style 6">
      <tableStyleElement dxfId="1" type="headerRow"/>
      <tableStyleElement dxfId="2" type="firstRowStripe"/>
      <tableStyleElement dxfId="3" type="secondRowStripe"/>
    </tableStyle>
    <tableStyle count="3" pivot="0" name="BALANÇO DE POTENCIAS QDL-style 7">
      <tableStyleElement dxfId="1" type="headerRow"/>
      <tableStyleElement dxfId="2" type="firstRowStripe"/>
      <tableStyleElement dxfId="3" type="secondRowStripe"/>
    </tableStyle>
    <tableStyle count="3" pivot="0" name="BALANÇO DE POTENCIAS QDL-style 8">
      <tableStyleElement dxfId="1" type="headerRow"/>
      <tableStyleElement dxfId="2" type="firstRowStripe"/>
      <tableStyleElement dxfId="3" type="secondRowStripe"/>
    </tableStyle>
    <tableStyle count="3" pivot="0" name="BALANÇO DE POTENCIAS QDL-style 9">
      <tableStyleElement dxfId="1" type="headerRow"/>
      <tableStyleElement dxfId="2" type="firstRowStripe"/>
      <tableStyleElement dxfId="3" type="secondRowStripe"/>
    </tableStyle>
    <tableStyle count="3" pivot="0" name="BALANÇO DE POTENCIAS QDL-style 10">
      <tableStyleElement dxfId="1" type="headerRow"/>
      <tableStyleElement dxfId="2" type="firstRowStripe"/>
      <tableStyleElement dxfId="3" type="secondRowStripe"/>
    </tableStyle>
    <tableStyle count="3" pivot="0" name="BALANÇO DE POTENCIAS QDL-style 11">
      <tableStyleElement dxfId="1" type="headerRow"/>
      <tableStyleElement dxfId="2" type="firstRowStripe"/>
      <tableStyleElement dxfId="3" type="secondRowStripe"/>
    </tableStyle>
    <tableStyle count="4" pivot="0" name="Queda de Tensão - QD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BALANÇO DE POTENCIAS QDL-style 12">
      <tableStyleElement dxfId="1" type="headerRow"/>
      <tableStyleElement dxfId="2" type="firstRowStripe"/>
      <tableStyleElement dxfId="3" type="secondRowStripe"/>
    </tableStyle>
    <tableStyle count="4" pivot="0" name="QD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BALANÇO DE POTENCIAS QDL-style 13">
      <tableStyleElement dxfId="1" type="headerRow"/>
      <tableStyleElement dxfId="2" type="firstRowStripe"/>
      <tableStyleElement dxfId="3" type="secondRowStripe"/>
    </tableStyle>
    <tableStyle count="3" pivot="0" name="BALANÇO DE POTENCIAS QDL-style 14">
      <tableStyleElement dxfId="1" type="headerRow"/>
      <tableStyleElement dxfId="2" type="firstRowStripe"/>
      <tableStyleElement dxfId="3" type="secondRowStripe"/>
    </tableStyle>
    <tableStyle count="2" pivot="0" name="BALANÇO DE POTENCIAS QDL-style 15">
      <tableStyleElement dxfId="3" type="firstRowStripe"/>
      <tableStyleElement dxfId="2" type="secondRowStripe"/>
    </tableStyle>
    <tableStyle count="4" pivot="0" name="Queda de Tensão - QDL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BALANÇO DE POTENCIAS QDL-style 16">
      <tableStyleElement dxfId="3" type="firstRowStripe"/>
      <tableStyleElement dxfId="2" type="secondRowStripe"/>
    </tableStyle>
    <tableStyle count="3" pivot="0" name="BALANÇO DE POTENCIAS QDL-style 17">
      <tableStyleElement dxfId="1" type="headerRow"/>
      <tableStyleElement dxfId="2" type="firstRowStripe"/>
      <tableStyleElement dxfId="3" type="secondRowStripe"/>
    </tableStyle>
    <tableStyle count="4" pivot="0" name="Queda de Tensão - QDL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BALANÇO DE POTENCIAS QDL-style 18">
      <tableStyleElement dxfId="1" type="headerRow"/>
      <tableStyleElement dxfId="2" type="firstRowStripe"/>
      <tableStyleElement dxfId="3" type="secondRowStripe"/>
    </tableStyle>
    <tableStyle count="4" pivot="0" name="QDL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BALANÇO DE POTENCIAS QDL-style 19">
      <tableStyleElement dxfId="1" type="headerRow"/>
      <tableStyleElement dxfId="2" type="firstRowStripe"/>
      <tableStyleElement dxfId="3" type="secondRowStripe"/>
    </tableStyle>
    <tableStyle count="4" pivot="0" name="Queda de Tensão - QDL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BALANÇO DE POTENCIAS QDL-style 20">
      <tableStyleElement dxfId="1" type="headerRow"/>
      <tableStyleElement dxfId="2" type="firstRowStripe"/>
      <tableStyleElement dxfId="3" type="secondRowStripe"/>
    </tableStyle>
    <tableStyle count="4" pivot="0" name="QDL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BALANÇO DE POTENCIAS QDL-style 21">
      <tableStyleElement dxfId="1" type="headerRow"/>
      <tableStyleElement dxfId="2" type="firstRowStripe"/>
      <tableStyleElement dxfId="3" type="secondRowStripe"/>
    </tableStyle>
    <tableStyle count="2" pivot="0" name="Queda de Tensão - QDL-style 5">
      <tableStyleElement dxfId="3" type="firstRowStripe"/>
      <tableStyleElement dxfId="2" type="secondRowStripe"/>
    </tableStyle>
    <tableStyle count="3" pivot="0" name="BALANÇO DE POTENCIAS QDL-style 22">
      <tableStyleElement dxfId="1" type="headerRow"/>
      <tableStyleElement dxfId="2" type="firstRowStripe"/>
      <tableStyleElement dxfId="3" type="secondRowStripe"/>
    </tableStyle>
    <tableStyle count="4" pivot="0" name="Queda de Tensão - QDL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QDL-style 4">
      <tableStyleElement dxfId="1" type="headerRow"/>
      <tableStyleElement dxfId="2" type="firstRowStripe"/>
      <tableStyleElement dxfId="3" type="secondRowStripe"/>
    </tableStyle>
    <tableStyle count="4" pivot="0" name="Queda de Tensão - QDL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QDL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Queda de Tensão - QDL-style 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QDL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Queda de Tensão - QDL-style 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QDL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Queda de Tensão - QDL-style 10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QDL-style 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Queda de Tensão - QDL-style 11">
      <tableStyleElement dxfId="1" type="headerRow"/>
      <tableStyleElement dxfId="2" type="firstRowStripe"/>
      <tableStyleElement dxfId="3" type="secondRowStripe"/>
    </tableStyle>
    <tableStyle count="2" pivot="0" name="Queda de Tensão - QDL-style 12">
      <tableStyleElement dxfId="2" type="firstRowStripe"/>
      <tableStyleElement dxfId="3" type="secondRowStripe"/>
    </tableStyle>
    <tableStyle count="2" pivot="0" name="Queda de Tensão - QDL-style 13">
      <tableStyleElement dxfId="2" type="firstRowStripe"/>
      <tableStyleElement dxfId="3" type="secondRowStripe"/>
    </tableStyle>
    <tableStyle count="4" pivot="0" name="QDL-style 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Queda de Tensão - QDL-style 14">
      <tableStyleElement dxfId="2" type="firstRowStripe"/>
      <tableStyleElement dxfId="3" type="secondRowStripe"/>
    </tableStyle>
    <tableStyle count="4" pivot="0" name="QDL-style 10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Queda de Tensão - QDL-style 1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Queda de Tensão - QDL-style 1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QDL-style 11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Queda de Tensão - QDL-style 17">
      <tableStyleElement dxfId="2" type="firstRowStripe"/>
      <tableStyleElement dxfId="3" type="secondRowStripe"/>
    </tableStyle>
    <tableStyle count="4" pivot="0" name="Queda de Tensão - QDL-style 1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QDL-style 1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Queda de Tensão - QDL-style 19">
      <tableStyleElement dxfId="2" type="firstRowStripe"/>
      <tableStyleElement dxfId="3" type="secondRowStripe"/>
    </tableStyle>
    <tableStyle count="4" pivot="0" name="Queda de Tensão - QDL-style 20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Queda de Tensão - QDL-style 21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BALANÇO TOTAL-style">
      <tableStyleElement dxfId="2" type="firstRowStripe"/>
      <tableStyleElement dxfId="3" type="secondRowStripe"/>
    </tableStyle>
    <tableStyle count="2" pivot="0" name="BALANÇO TOTAL-style 2">
      <tableStyleElement dxfId="3" type="firstRowStripe"/>
      <tableStyleElement dxfId="2" type="secondRowStripe"/>
    </tableStyle>
    <tableStyle count="2" pivot="0" name="BALANÇO TOTAL-style 3">
      <tableStyleElement dxfId="3" type="firstRowStripe"/>
      <tableStyleElement dxfId="2" type="secondRowStripe"/>
    </tableStyle>
    <tableStyle count="2" pivot="0" name="BALANÇO TOTAL-style 4">
      <tableStyleElement dxfId="3" type="firstRowStripe"/>
      <tableStyleElement dxfId="2" type="secondRowStripe"/>
    </tableStyle>
    <tableStyle count="2" pivot="0" name="BALANÇO TOTAL-style 5">
      <tableStyleElement dxfId="2" type="firstRowStripe"/>
      <tableStyleElement dxfId="3" type="secondRowStripe"/>
    </tableStyle>
    <tableStyle count="2" pivot="0" name="BALANÇO TOTAL-style 6">
      <tableStyleElement dxfId="3" type="firstRowStripe"/>
      <tableStyleElement dxfId="2" type="secondRowStripe"/>
    </tableStyle>
    <tableStyle count="2" pivot="0" name="BALANÇO TOTAL-style 7">
      <tableStyleElement dxfId="3" type="firstRowStripe"/>
      <tableStyleElement dxfId="2" type="secondRowStripe"/>
    </tableStyle>
    <tableStyle count="2" pivot="0" name="BALANÇO TOTAL-style 8">
      <tableStyleElement dxfId="3" type="firstRowStripe"/>
      <tableStyleElement dxfId="2" type="secondRowStripe"/>
    </tableStyle>
    <tableStyle count="3" pivot="0" name="QDGL-style">
      <tableStyleElement dxfId="1" type="headerRow"/>
      <tableStyleElement dxfId="2" type="firstRowStripe"/>
      <tableStyleElement dxfId="3" type="secondRowStripe"/>
    </tableStyle>
    <tableStyle count="2" pivot="0" name="QDGL-style 2">
      <tableStyleElement dxfId="3" type="firstRowStripe"/>
      <tableStyleElement dxfId="2" type="secondRowStripe"/>
    </tableStyle>
    <tableStyle count="2" pivot="0" name="QDGL-style 3">
      <tableStyleElement dxfId="3" type="firstRowStripe"/>
      <tableStyleElement dxfId="2" type="secondRowStripe"/>
    </tableStyle>
    <tableStyle count="3" pivot="0" name="QDGL-style 4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customschemas.google.com/relationships/workbookmetadata" Target="metadata"/><Relationship Id="rId10" Type="http://schemas.openxmlformats.org/officeDocument/2006/relationships/worksheet" Target="worksheets/sheet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Relationship Id="rId3" Type="http://schemas.openxmlformats.org/officeDocument/2006/relationships/image" Target="../media/image6.png"/><Relationship Id="rId4" Type="http://schemas.openxmlformats.org/officeDocument/2006/relationships/image" Target="../media/image3.png"/><Relationship Id="rId5" Type="http://schemas.openxmlformats.org/officeDocument/2006/relationships/image" Target="../media/image9.png"/><Relationship Id="rId6" Type="http://schemas.openxmlformats.org/officeDocument/2006/relationships/image" Target="../media/image7.png"/><Relationship Id="rId7" Type="http://schemas.openxmlformats.org/officeDocument/2006/relationships/image" Target="../media/image1.png"/><Relationship Id="rId8" Type="http://schemas.openxmlformats.org/officeDocument/2006/relationships/image" Target="../media/image4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771525</xdr:colOff>
      <xdr:row>1</xdr:row>
      <xdr:rowOff>66675</xdr:rowOff>
    </xdr:from>
    <xdr:ext cx="5276850" cy="609600"/>
    <xdr:pic>
      <xdr:nvPicPr>
        <xdr:cNvPr id="0" name="image5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771525</xdr:colOff>
      <xdr:row>3</xdr:row>
      <xdr:rowOff>123825</xdr:rowOff>
    </xdr:from>
    <xdr:ext cx="5276850" cy="609600"/>
    <xdr:pic>
      <xdr:nvPicPr>
        <xdr:cNvPr id="0" name="image2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771525</xdr:colOff>
      <xdr:row>5</xdr:row>
      <xdr:rowOff>276225</xdr:rowOff>
    </xdr:from>
    <xdr:ext cx="4752975" cy="1504950"/>
    <xdr:pic>
      <xdr:nvPicPr>
        <xdr:cNvPr id="0" name="image6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485775</xdr:colOff>
      <xdr:row>24</xdr:row>
      <xdr:rowOff>171450</xdr:rowOff>
    </xdr:from>
    <xdr:ext cx="3038475" cy="3933825"/>
    <xdr:pic>
      <xdr:nvPicPr>
        <xdr:cNvPr id="0" name="image3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428625</xdr:colOff>
      <xdr:row>26</xdr:row>
      <xdr:rowOff>28575</xdr:rowOff>
    </xdr:from>
    <xdr:ext cx="4600575" cy="3686175"/>
    <xdr:pic>
      <xdr:nvPicPr>
        <xdr:cNvPr id="0" name="image9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1047750</xdr:colOff>
      <xdr:row>50</xdr:row>
      <xdr:rowOff>9525</xdr:rowOff>
    </xdr:from>
    <xdr:ext cx="3790950" cy="2609850"/>
    <xdr:pic>
      <xdr:nvPicPr>
        <xdr:cNvPr id="0" name="image7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133350</xdr:colOff>
      <xdr:row>72</xdr:row>
      <xdr:rowOff>85725</xdr:rowOff>
    </xdr:from>
    <xdr:ext cx="3352800" cy="704850"/>
    <xdr:pic>
      <xdr:nvPicPr>
        <xdr:cNvPr id="0" name="image1.png" title="Imagem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38100</xdr:colOff>
      <xdr:row>51</xdr:row>
      <xdr:rowOff>28575</xdr:rowOff>
    </xdr:from>
    <xdr:ext cx="3209925" cy="1209675"/>
    <xdr:pic>
      <xdr:nvPicPr>
        <xdr:cNvPr id="0" name="image4.png" title="Imagem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266700</xdr:colOff>
      <xdr:row>1</xdr:row>
      <xdr:rowOff>180975</xdr:rowOff>
    </xdr:from>
    <xdr:ext cx="3600450" cy="1228725"/>
    <xdr:pic>
      <xdr:nvPicPr>
        <xdr:cNvPr id="0" name="image8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857250</xdr:colOff>
      <xdr:row>40</xdr:row>
      <xdr:rowOff>-114300</xdr:rowOff>
    </xdr:from>
    <xdr:ext cx="7067550" cy="4333875"/>
    <xdr:pic>
      <xdr:nvPicPr>
        <xdr:cNvPr id="0" name="image10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180975</xdr:colOff>
      <xdr:row>39</xdr:row>
      <xdr:rowOff>76200</xdr:rowOff>
    </xdr:from>
    <xdr:ext cx="7067550" cy="4333875"/>
    <xdr:pic>
      <xdr:nvPicPr>
        <xdr:cNvPr id="0" name="image10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78:I85" displayName="Table_1" name="Table_1" id="9">
  <tableColumns count="9">
    <tableColumn name="Circuito L1" id="1"/>
    <tableColumn name="Corrente (A)" id="2"/>
    <tableColumn name="Distância (m)" id="3"/>
    <tableColumn name="R [Ω/m]" id="4"/>
    <tableColumn name="X [Ω/m]" id="5"/>
    <tableColumn name="FP" id="6"/>
    <tableColumn name="ΔV [V]" id="7"/>
    <tableColumn name="ΔV [%]" id="8"/>
    <tableColumn name="ΔV[%]*" id="9"/>
  </tableColumns>
  <tableStyleInfo name="QDL-style" showColumnStripes="0" showFirstColumn="1" showLastColumn="1" showRowStripes="1"/>
</table>
</file>

<file path=xl/tables/table2.xml><?xml version="1.0" encoding="utf-8"?>
<table xmlns="http://schemas.openxmlformats.org/spreadsheetml/2006/main" ref="A88:I92" displayName="Table_2" name="Table_2" id="20">
  <tableColumns count="9">
    <tableColumn name="Circuito L1" id="1"/>
    <tableColumn name="Corrente (A)" id="2"/>
    <tableColumn name="Distância (m)" id="3"/>
    <tableColumn name="R [Ω/m]" id="4"/>
    <tableColumn name="X [Ω/m]" id="5"/>
    <tableColumn name="FP" id="6"/>
    <tableColumn name="ΔV [V]" id="7"/>
    <tableColumn name="ΔV [%]" id="8"/>
    <tableColumn name="ΔV[%]*" id="9"/>
  </tableColumns>
  <tableStyleInfo name="QDL-style 2" showColumnStripes="0" showFirstColumn="1" showLastColumn="1" showRowStripes="1"/>
</table>
</file>

<file path=xl/tables/table3.xml><?xml version="1.0" encoding="utf-8"?>
<table xmlns="http://schemas.openxmlformats.org/spreadsheetml/2006/main" ref="A95:I97" displayName="Table_3" name="Table_3" id="27">
  <tableColumns count="9">
    <tableColumn name="Circuito L2" id="1"/>
    <tableColumn name="Corrente (A)" id="2"/>
    <tableColumn name="Distância (m)" id="3"/>
    <tableColumn name="R [Ω/m]" id="4"/>
    <tableColumn name="X [Ω/m]" id="5"/>
    <tableColumn name="FP" id="6"/>
    <tableColumn name="ΔV [V]" id="7"/>
    <tableColumn name="ΔV [%]" id="8"/>
    <tableColumn name="ΔV[%]*" id="9"/>
  </tableColumns>
  <tableStyleInfo name="QDL-style 3" showColumnStripes="0" showFirstColumn="1" showLastColumn="1" showRowStripes="1"/>
</table>
</file>

<file path=xl/tables/table4.xml><?xml version="1.0" encoding="utf-8"?>
<table xmlns="http://schemas.openxmlformats.org/spreadsheetml/2006/main" headerRowCount="0" ref="A100:I104" displayName="Table_49" name="Table_49" id="32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QDL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ref="A107:I116" displayName="Table_5" name="Table_5" id="34">
  <tableColumns count="9">
    <tableColumn name="Circuito L4" id="1"/>
    <tableColumn name="Corrente (A)" id="2"/>
    <tableColumn name="Distância (m)" id="3"/>
    <tableColumn name="R [Ω/m]" id="4"/>
    <tableColumn name="X [Ω/m]" id="5"/>
    <tableColumn name="FP" id="6"/>
    <tableColumn name="ΔV [V]" id="7"/>
    <tableColumn name="ΔV [%]" id="8"/>
    <tableColumn name="ΔV[%]*" id="9"/>
  </tableColumns>
  <tableStyleInfo name="QDL-style 5" showColumnStripes="0" showFirstColumn="1" showLastColumn="1" showRowStripes="1"/>
</table>
</file>

<file path=xl/tables/table6.xml><?xml version="1.0" encoding="utf-8"?>
<table xmlns="http://schemas.openxmlformats.org/spreadsheetml/2006/main" ref="A119:I130" displayName="Table_6" name="Table_6" id="36">
  <tableColumns count="9">
    <tableColumn name="Circuito L5" id="1"/>
    <tableColumn name="Corrente (A)" id="2"/>
    <tableColumn name="Distância (m)" id="3"/>
    <tableColumn name="R [Ω/m]" id="4"/>
    <tableColumn name="X [Ω/m]" id="5"/>
    <tableColumn name="FP" id="6"/>
    <tableColumn name="ΔV [V]" id="7"/>
    <tableColumn name="ΔV [%]" id="8"/>
    <tableColumn name="ΔV[%]*" id="9"/>
  </tableColumns>
  <tableStyleInfo name="QDL-style 6" showColumnStripes="0" showFirstColumn="1" showLastColumn="1" showRowStripes="1"/>
</table>
</file>

<file path=xl/tables/table7.xml><?xml version="1.0" encoding="utf-8"?>
<table xmlns="http://schemas.openxmlformats.org/spreadsheetml/2006/main" ref="A133:I142" displayName="Table_7" name="Table_7" id="38">
  <tableColumns count="9">
    <tableColumn name="Circuito L6" id="1"/>
    <tableColumn name="Corrente (A)" id="2"/>
    <tableColumn name="Distância (m)" id="3"/>
    <tableColumn name="R [Ω/m]" id="4"/>
    <tableColumn name="X [Ω/m]" id="5"/>
    <tableColumn name="FP" id="6"/>
    <tableColumn name="ΔV [V]" id="7"/>
    <tableColumn name="ΔV [%]" id="8"/>
    <tableColumn name="ΔV[%]*" id="9"/>
  </tableColumns>
  <tableStyleInfo name="QDL-style 7" showColumnStripes="0" showFirstColumn="1" showLastColumn="1" showRowStripes="1"/>
</table>
</file>

<file path=xl/tables/table8.xml><?xml version="1.0" encoding="utf-8"?>
<table xmlns="http://schemas.openxmlformats.org/spreadsheetml/2006/main" ref="A144:I153" displayName="Table_8" name="Table_8" id="40">
  <tableColumns count="9">
    <tableColumn name="Circuito L7" id="1"/>
    <tableColumn name="Corrente (A)" id="2"/>
    <tableColumn name="Distância (m)" id="3"/>
    <tableColumn name="R [Ω/m]" id="4"/>
    <tableColumn name="X [Ω/m]" id="5"/>
    <tableColumn name="FP" id="6"/>
    <tableColumn name="ΔV [V]" id="7"/>
    <tableColumn name="ΔV [%]" id="8"/>
    <tableColumn name="ΔV[%]*" id="9"/>
  </tableColumns>
  <tableStyleInfo name="QDL-style 8" showColumnStripes="0" showFirstColumn="1" showLastColumn="1" showRowStripes="1"/>
</table>
</file>

<file path=xl/tables/table9.xml><?xml version="1.0" encoding="utf-8"?>
<table xmlns="http://schemas.openxmlformats.org/spreadsheetml/2006/main" ref="A155:I164" displayName="Table_9" name="Table_9" id="43">
  <tableColumns count="9">
    <tableColumn name="Circuito L8" id="1"/>
    <tableColumn name="Corrente (A)" id="2"/>
    <tableColumn name="Distância (m)" id="3"/>
    <tableColumn name="R [Ω/m]" id="4"/>
    <tableColumn name="X [Ω/m]" id="5"/>
    <tableColumn name="FP" id="6"/>
    <tableColumn name="ΔV [V]" id="7"/>
    <tableColumn name="ΔV [%]" id="8"/>
    <tableColumn name="ΔV[%]*" id="9"/>
  </tableColumns>
  <tableStyleInfo name="QDL-style 9" showColumnStripes="0" showFirstColumn="1" showLastColumn="1" showRowStripes="1"/>
</table>
</file>

<file path=xl/tables/table10.xml><?xml version="1.0" encoding="utf-8"?>
<table xmlns="http://schemas.openxmlformats.org/spreadsheetml/2006/main" ref="A166:I175" displayName="Table_10" name="Table_10" id="47">
  <tableColumns count="9">
    <tableColumn name="Circuito L9" id="1"/>
    <tableColumn name="Corrente (A)" id="2"/>
    <tableColumn name="Distância (m)" id="3"/>
    <tableColumn name="R [Ω/m]" id="4"/>
    <tableColumn name="X [Ω/m]" id="5"/>
    <tableColumn name="FP" id="6"/>
    <tableColumn name="ΔV [V]" id="7"/>
    <tableColumn name="ΔV [%]" id="8"/>
    <tableColumn name="ΔV[%]*" id="9"/>
  </tableColumns>
  <tableStyleInfo name="QDL-style 10" showColumnStripes="0" showFirstColumn="1" showLastColumn="1" showRowStripes="1"/>
</table>
</file>

<file path=xl/tables/table11.xml><?xml version="1.0" encoding="utf-8"?>
<table xmlns="http://schemas.openxmlformats.org/spreadsheetml/2006/main" ref="A177:I186" displayName="Table_11" name="Table_11" id="48">
  <tableColumns count="9">
    <tableColumn name="Circuito L10" id="1"/>
    <tableColumn name="Corrente (A)" id="2"/>
    <tableColumn name="Distância (m)" id="3"/>
    <tableColumn name="R [Ω/m]" id="4"/>
    <tableColumn name="X [Ω/m]" id="5"/>
    <tableColumn name="FP" id="6"/>
    <tableColumn name="ΔV [V]" id="7"/>
    <tableColumn name="ΔV [%]" id="8"/>
    <tableColumn name="ΔV[%]*" id="9"/>
  </tableColumns>
  <tableStyleInfo name="QDL-style 11" showColumnStripes="0" showFirstColumn="1" showLastColumn="1" showRowStripes="1"/>
</table>
</file>

<file path=xl/tables/table12.xml><?xml version="1.0" encoding="utf-8"?>
<table xmlns="http://schemas.openxmlformats.org/spreadsheetml/2006/main" ref="A190:I196" displayName="Table_12" name="Table_12" id="51">
  <tableColumns count="9">
    <tableColumn name="Circuito L11" id="1"/>
    <tableColumn name="Corrente (A)" id="2"/>
    <tableColumn name="Distância (m)" id="3"/>
    <tableColumn name="R [Ω/m]" id="4"/>
    <tableColumn name="X [Ω/m]" id="5"/>
    <tableColumn name="FP" id="6"/>
    <tableColumn name="ΔV [V]" id="7"/>
    <tableColumn name="ΔV [%]" id="8"/>
    <tableColumn name="ΔV[%]*" id="9"/>
  </tableColumns>
  <tableStyleInfo name="QDL-style 12" showColumnStripes="0" showFirstColumn="1" showLastColumn="1" showRowStripes="1"/>
</table>
</file>

<file path=xl/tables/table13.xml><?xml version="1.0" encoding="utf-8"?>
<table xmlns="http://schemas.openxmlformats.org/spreadsheetml/2006/main" ref="A5:I8" displayName="Table_13" name="Table_13" id="6">
  <tableColumns count="9">
    <tableColumn name="Circuito L0" id="1"/>
    <tableColumn name="Corrente (A)" id="2"/>
    <tableColumn name="Distância (m)" id="3"/>
    <tableColumn name="R [Ω/m]" id="4"/>
    <tableColumn name="X [Ω/m]" id="5"/>
    <tableColumn name="FP" id="6"/>
    <tableColumn name="ΔV (V)" id="7"/>
    <tableColumn name="ΔV (%)" id="8"/>
    <tableColumn name="ΔV(%)*" id="9"/>
  </tableColumns>
  <tableStyleInfo name="Queda de Tensão - QDL-style" showColumnStripes="0" showFirstColumn="1" showLastColumn="1" showRowStripes="1"/>
</table>
</file>

<file path=xl/tables/table14.xml><?xml version="1.0" encoding="utf-8"?>
<table xmlns="http://schemas.openxmlformats.org/spreadsheetml/2006/main" ref="O5:T8" displayName="Table_14" name="Table_14" id="17">
  <tableColumns count="6">
    <tableColumn name="Circuito L0" id="1"/>
    <tableColumn name="Ip (A)" id="2"/>
    <tableColumn name="Distância (m)" id="3"/>
    <tableColumn name="ΔV unitário (V)" id="4"/>
    <tableColumn name="ΔV (%)" id="5"/>
    <tableColumn name="ΔV(%)*" id="6"/>
  </tableColumns>
  <tableStyleInfo name="Queda de Tensão - QDL-style 2" showColumnStripes="0" showFirstColumn="1" showLastColumn="1" showRowStripes="1"/>
</table>
</file>

<file path=xl/tables/table15.xml><?xml version="1.0" encoding="utf-8"?>
<table xmlns="http://schemas.openxmlformats.org/spreadsheetml/2006/main" ref="A15:I18" displayName="Table_15" name="Table_15" id="22">
  <tableColumns count="9">
    <tableColumn name="Circuito L1" id="1"/>
    <tableColumn name="Corrente (A)" id="2"/>
    <tableColumn name="Distância (m)" id="3"/>
    <tableColumn name="R [Ω/m]" id="4"/>
    <tableColumn name="X [Ω/m]" id="5"/>
    <tableColumn name="FP" id="6"/>
    <tableColumn name="ΔV (V)" id="7"/>
    <tableColumn name="ΔV (%)" id="8"/>
    <tableColumn name="ΔV(%)*" id="9"/>
  </tableColumns>
  <tableStyleInfo name="Queda de Tensão - QDL-style 3" showColumnStripes="0" showFirstColumn="1" showLastColumn="1" showRowStripes="1"/>
</table>
</file>

<file path=xl/tables/table16.xml><?xml version="1.0" encoding="utf-8"?>
<table xmlns="http://schemas.openxmlformats.org/spreadsheetml/2006/main" ref="O15:T19" displayName="Table_16" name="Table_16" id="25">
  <tableColumns count="6">
    <tableColumn name="Circuito L1" id="1"/>
    <tableColumn name="Ip (A)" id="2"/>
    <tableColumn name="Distância (m)" id="3"/>
    <tableColumn name="ΔV unitário (V)" id="4"/>
    <tableColumn name="ΔV (%)" id="5"/>
    <tableColumn name="ΔV(%)*" id="6"/>
  </tableColumns>
  <tableStyleInfo name="Queda de Tensão - QDL-style 4" showColumnStripes="0" showFirstColumn="1" showLastColumn="1" showRowStripes="1"/>
</table>
</file>

<file path=xl/tables/table17.xml><?xml version="1.0" encoding="utf-8"?>
<table xmlns="http://schemas.openxmlformats.org/spreadsheetml/2006/main" headerRowCount="0" ref="A19:I19" displayName="Table_46" name="Table_46" id="28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Queda de Tensão - QDL-style 5" showColumnStripes="0" showFirstColumn="1" showLastColumn="1" showRowStripes="1"/>
</table>
</file>

<file path=xl/tables/table18.xml><?xml version="1.0" encoding="utf-8"?>
<table xmlns="http://schemas.openxmlformats.org/spreadsheetml/2006/main" ref="A24:I30" displayName="Table_18" name="Table_18" id="31">
  <tableColumns count="9">
    <tableColumn name="Circuito L2" id="1"/>
    <tableColumn name="Corrente (A)" id="2"/>
    <tableColumn name="Distância (m)" id="3"/>
    <tableColumn name="R [Ω/m]" id="4"/>
    <tableColumn name="X [Ω/m]" id="5"/>
    <tableColumn name="FP" id="6"/>
    <tableColumn name="ΔV (V)" id="7"/>
    <tableColumn name="ΔV (%)" id="8"/>
    <tableColumn name="ΔV(%)*" id="9"/>
  </tableColumns>
  <tableStyleInfo name="Queda de Tensão - QDL-style 6" showColumnStripes="0" showFirstColumn="1" showLastColumn="1" showRowStripes="1"/>
</table>
</file>

<file path=xl/tables/table19.xml><?xml version="1.0" encoding="utf-8"?>
<table xmlns="http://schemas.openxmlformats.org/spreadsheetml/2006/main" ref="O24:T30" displayName="Table_19" name="Table_19" id="33">
  <tableColumns count="6">
    <tableColumn name="Circuito L2" id="1"/>
    <tableColumn name="Ip (A)" id="2"/>
    <tableColumn name="Distância (m)" id="3"/>
    <tableColumn name="ΔV unitário (V)" id="4"/>
    <tableColumn name="ΔV (%)" id="5"/>
    <tableColumn name="ΔV(%)*" id="6"/>
  </tableColumns>
  <tableStyleInfo name="Queda de Tensão - QDL-style 7" showColumnStripes="0" showFirstColumn="1" showLastColumn="1" showRowStripes="1"/>
</table>
</file>

<file path=xl/tables/table20.xml><?xml version="1.0" encoding="utf-8"?>
<table xmlns="http://schemas.openxmlformats.org/spreadsheetml/2006/main" ref="A35:I41" displayName="Table_20" name="Table_20" id="35">
  <tableColumns count="9">
    <tableColumn name="Circuito L3" id="1"/>
    <tableColumn name="Corrente (A)" id="2"/>
    <tableColumn name="Distância (m)" id="3"/>
    <tableColumn name="R [Ω/m]" id="4"/>
    <tableColumn name="X [Ω/m]" id="5"/>
    <tableColumn name="FP" id="6"/>
    <tableColumn name="ΔV (V)" id="7"/>
    <tableColumn name="ΔV (%)" id="8"/>
    <tableColumn name="ΔV(%)*" id="9"/>
  </tableColumns>
  <tableStyleInfo name="Queda de Tensão - QDL-style 8" showColumnStripes="0" showFirstColumn="1" showLastColumn="1" showRowStripes="1"/>
</table>
</file>

<file path=xl/tables/table21.xml><?xml version="1.0" encoding="utf-8"?>
<table xmlns="http://schemas.openxmlformats.org/spreadsheetml/2006/main" ref="O35:T41" displayName="Table_21" name="Table_21" id="37">
  <tableColumns count="6">
    <tableColumn name="Circuito L3" id="1"/>
    <tableColumn name="Ip (A)" id="2"/>
    <tableColumn name="Distância (m)" id="3"/>
    <tableColumn name="ΔV unitário (V)" id="4"/>
    <tableColumn name="ΔV (%)" id="5"/>
    <tableColumn name="ΔV(%)*" id="6"/>
  </tableColumns>
  <tableStyleInfo name="Queda de Tensão - QDL-style 9" showColumnStripes="0" showFirstColumn="1" showLastColumn="1" showRowStripes="1"/>
</table>
</file>

<file path=xl/tables/table22.xml><?xml version="1.0" encoding="utf-8"?>
<table xmlns="http://schemas.openxmlformats.org/spreadsheetml/2006/main" ref="A46:I55" displayName="Table_22" name="Table_22" id="39">
  <tableColumns count="9">
    <tableColumn name="Circuito L17" id="1"/>
    <tableColumn name="Corrente (A)" id="2"/>
    <tableColumn name="Distância (m)" id="3"/>
    <tableColumn name="R [Ω/m]" id="4"/>
    <tableColumn name="X [Ω/m]" id="5"/>
    <tableColumn name="FP" id="6"/>
    <tableColumn name="ΔV (V)" id="7"/>
    <tableColumn name="ΔV (%)" id="8"/>
    <tableColumn name="ΔV(%)*" id="9"/>
  </tableColumns>
  <tableStyleInfo name="Queda de Tensão - QDL-style 10" showColumnStripes="0" showFirstColumn="1" showLastColumn="1" showRowStripes="1"/>
</table>
</file>

<file path=xl/tables/table23.xml><?xml version="1.0" encoding="utf-8"?>
<table xmlns="http://schemas.openxmlformats.org/spreadsheetml/2006/main" headerRowCount="0" ref="O46:T46" displayName="Table_50" name="Table_50" id="4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ueda de Tensão - QDL-style 1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4.xml><?xml version="1.0" encoding="utf-8"?>
<table xmlns="http://schemas.openxmlformats.org/spreadsheetml/2006/main" headerRowCount="0" ref="O47:T50" displayName="Table_51" name="Table_51" id="4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ueda de Tensão - QDL-style 12" showColumnStripes="0" showFirstColumn="1" showLastColumn="1" showRowStripes="1"/>
</table>
</file>

<file path=xl/tables/table25.xml><?xml version="1.0" encoding="utf-8"?>
<table xmlns="http://schemas.openxmlformats.org/spreadsheetml/2006/main" headerRowCount="0" ref="O51:T52" displayName="Table_52" name="Table_52" id="4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ueda de Tensão - QDL-style 13" showColumnStripes="0" showFirstColumn="1" showLastColumn="1" showRowStripes="1"/>
</table>
</file>

<file path=xl/tables/table26.xml><?xml version="1.0" encoding="utf-8"?>
<table xmlns="http://schemas.openxmlformats.org/spreadsheetml/2006/main" headerRowCount="0" ref="O53:T54" displayName="Table_53" name="Table_53" id="4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ueda de Tensão - QDL-style 14" showColumnStripes="0" showFirstColumn="1" showLastColumn="1" showRowStripes="1"/>
</table>
</file>

<file path=xl/tables/table27.xml><?xml version="1.0" encoding="utf-8"?>
<table xmlns="http://schemas.openxmlformats.org/spreadsheetml/2006/main" ref="A60:I64" displayName="Table_27" name="Table_27" id="46">
  <tableColumns count="9">
    <tableColumn name="Circuito L18" id="1"/>
    <tableColumn name="Corrente (A)" id="2"/>
    <tableColumn name="Distância (m)" id="3"/>
    <tableColumn name="R [Ω/m]" id="4"/>
    <tableColumn name="X [Ω/m]" id="5"/>
    <tableColumn name="FP" id="6"/>
    <tableColumn name="ΔV (V)" id="7"/>
    <tableColumn name="ΔV (%)" id="8"/>
    <tableColumn name="ΔV(%)*" id="9"/>
  </tableColumns>
  <tableStyleInfo name="Queda de Tensão - QDL-style 15" showColumnStripes="0" showFirstColumn="1" showLastColumn="1" showRowStripes="1"/>
</table>
</file>

<file path=xl/tables/table28.xml><?xml version="1.0" encoding="utf-8"?>
<table xmlns="http://schemas.openxmlformats.org/spreadsheetml/2006/main" ref="O60:T64" displayName="Table_28" name="Table_28" id="49">
  <tableColumns count="6">
    <tableColumn name="Circuito L12" id="1"/>
    <tableColumn name="Ip (A)" id="2"/>
    <tableColumn name="Distância (m)" id="3"/>
    <tableColumn name="ΔV unitário (V)" id="4"/>
    <tableColumn name="ΔV (%)" id="5"/>
    <tableColumn name="ΔV(%)*" id="6"/>
  </tableColumns>
  <tableStyleInfo name="Queda de Tensão - QDL-style 16" showColumnStripes="0" showFirstColumn="1" showLastColumn="1" showRowStripes="1"/>
</table>
</file>

<file path=xl/tables/table29.xml><?xml version="1.0" encoding="utf-8"?>
<table xmlns="http://schemas.openxmlformats.org/spreadsheetml/2006/main" headerRowCount="0" ref="K61:M64" displayName="Table_54" name="Table_54" id="50">
  <tableColumns count="3">
    <tableColumn name="Column1" id="1"/>
    <tableColumn name="Column2" id="2"/>
    <tableColumn name="Column3" id="3"/>
  </tableColumns>
  <tableStyleInfo name="Queda de Tensão - QDL-style 17" showColumnStripes="0" showFirstColumn="1" showLastColumn="1" showRowStripes="1"/>
</table>
</file>

<file path=xl/tables/table30.xml><?xml version="1.0" encoding="utf-8"?>
<table xmlns="http://schemas.openxmlformats.org/spreadsheetml/2006/main" ref="A69:I75" displayName="Table_30" name="Table_30" id="52">
  <tableColumns count="9">
    <tableColumn name="Circuito L19" id="1"/>
    <tableColumn name="Corrente (A)" id="2"/>
    <tableColumn name="Distância (m)" id="3"/>
    <tableColumn name="R [Ω/m]" id="4"/>
    <tableColumn name="X [Ω/m]" id="5"/>
    <tableColumn name="FP" id="6"/>
    <tableColumn name="ΔV (V)" id="7"/>
    <tableColumn name="ΔV (%)" id="8"/>
    <tableColumn name="ΔV(%)*" id="9"/>
  </tableColumns>
  <tableStyleInfo name="Queda de Tensão - QDL-style 18" showColumnStripes="0" showFirstColumn="1" showLastColumn="1" showRowStripes="1"/>
</table>
</file>

<file path=xl/tables/table31.xml><?xml version="1.0" encoding="utf-8"?>
<table xmlns="http://schemas.openxmlformats.org/spreadsheetml/2006/main" headerRowCount="0" ref="K70:M75" displayName="Table_55" name="Table_55" id="53">
  <tableColumns count="3">
    <tableColumn name="Column1" id="1"/>
    <tableColumn name="Column2" id="2"/>
    <tableColumn name="Column3" id="3"/>
  </tableColumns>
  <tableStyleInfo name="Queda de Tensão - QDL-style 19" showColumnStripes="0" showFirstColumn="1" showLastColumn="1" showRowStripes="1"/>
</table>
</file>

<file path=xl/tables/table32.xml><?xml version="1.0" encoding="utf-8"?>
<table xmlns="http://schemas.openxmlformats.org/spreadsheetml/2006/main" ref="A80:I96" displayName="Table_32" name="Table_32" id="54">
  <tableColumns count="9">
    <tableColumn name="Circuito L20" id="1"/>
    <tableColumn name="Corrente (A)" id="2"/>
    <tableColumn name="Distância (m)" id="3"/>
    <tableColumn name="R [Ω/m]" id="4"/>
    <tableColumn name="X [Ω/m]" id="5"/>
    <tableColumn name="FP" id="6"/>
    <tableColumn name="ΔV (V)" id="7"/>
    <tableColumn name="ΔV (%)" id="8"/>
    <tableColumn name="ΔV(%)*" id="9"/>
  </tableColumns>
  <tableStyleInfo name="Queda de Tensão - QDL-style 20" showColumnStripes="0" showFirstColumn="1" showLastColumn="1" showRowStripes="1"/>
</table>
</file>

<file path=xl/tables/table33.xml><?xml version="1.0" encoding="utf-8"?>
<table xmlns="http://schemas.openxmlformats.org/spreadsheetml/2006/main" ref="A101:I103" displayName="Table_33" name="Table_33" id="55">
  <tableColumns count="9">
    <tableColumn name="Circuito L21" id="1"/>
    <tableColumn name="Corrente (A)" id="2"/>
    <tableColumn name="Distância (m)" id="3"/>
    <tableColumn name="R [Ω/m]" id="4"/>
    <tableColumn name="X [Ω/m]" id="5"/>
    <tableColumn name="FP" id="6"/>
    <tableColumn name="ΔV (V)" id="7"/>
    <tableColumn name="ΔV (%)" id="8"/>
    <tableColumn name="ΔV(%)*" id="9"/>
  </tableColumns>
  <tableStyleInfo name="Queda de Tensão - QDL-style 21" showColumnStripes="0" showFirstColumn="1" showLastColumn="1" showRowStripes="1"/>
</table>
</file>

<file path=xl/tables/table34.xml><?xml version="1.0" encoding="utf-8"?>
<table xmlns="http://schemas.openxmlformats.org/spreadsheetml/2006/main" headerRowCount="0" ref="M1:O5" displayName="Table_4" name="Table_4" id="1">
  <tableColumns count="3">
    <tableColumn name="Column1" id="1"/>
    <tableColumn name="Column2" id="2"/>
    <tableColumn name="Column3" id="3"/>
  </tableColumns>
  <tableStyleInfo name="BALANÇO DE POTENCIAS QDL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5.xml><?xml version="1.0" encoding="utf-8"?>
<table xmlns="http://schemas.openxmlformats.org/spreadsheetml/2006/main" headerRowCount="0" ref="R1:T5" displayName="Table_17" name="Table_17" id="2">
  <tableColumns count="3">
    <tableColumn name="Column1" id="1"/>
    <tableColumn name="Column2" id="2"/>
    <tableColumn name="Column3" id="3"/>
  </tableColumns>
  <tableStyleInfo name="BALANÇO DE POTENCIAS QDL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6.xml><?xml version="1.0" encoding="utf-8"?>
<table xmlns="http://schemas.openxmlformats.org/spreadsheetml/2006/main" headerRowCount="0" ref="L2" displayName="Table_23" name="Table_23" id="3">
  <tableColumns count="1">
    <tableColumn name="Column1" id="1"/>
  </tableColumns>
  <tableStyleInfo name="BALANÇO DE POTENCIAS QDL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7.xml><?xml version="1.0" encoding="utf-8"?>
<table xmlns="http://schemas.openxmlformats.org/spreadsheetml/2006/main" headerRowCount="0" ref="Q2" displayName="Table_24" name="Table_24" id="4">
  <tableColumns count="1">
    <tableColumn name="Column1" id="1"/>
  </tableColumns>
  <tableStyleInfo name="BALANÇO DE POTENCIAS QDL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8.xml><?xml version="1.0" encoding="utf-8"?>
<table xmlns="http://schemas.openxmlformats.org/spreadsheetml/2006/main" headerRowCount="0" ref="L7:L9" displayName="Table_25" name="Table_25" id="5">
  <tableColumns count="1">
    <tableColumn name="Column1" id="1"/>
  </tableColumns>
  <tableStyleInfo name="BALANÇO DE POTENCIAS QDL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9.xml><?xml version="1.0" encoding="utf-8"?>
<table xmlns="http://schemas.openxmlformats.org/spreadsheetml/2006/main" headerRowCount="0" ref="M7:O11" displayName="Table_26" name="Table_26" id="7">
  <tableColumns count="3">
    <tableColumn name="Column1" id="1"/>
    <tableColumn name="Column2" id="2"/>
    <tableColumn name="Column3" id="3"/>
  </tableColumns>
  <tableStyleInfo name="BALANÇO DE POTENCIAS QDL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0.xml><?xml version="1.0" encoding="utf-8"?>
<table xmlns="http://schemas.openxmlformats.org/spreadsheetml/2006/main" headerRowCount="0" ref="Q7:Q9" displayName="Table_29" name="Table_29" id="8">
  <tableColumns count="1">
    <tableColumn name="Column1" id="1"/>
  </tableColumns>
  <tableStyleInfo name="BALANÇO DE POTENCIAS QDL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1.xml><?xml version="1.0" encoding="utf-8"?>
<table xmlns="http://schemas.openxmlformats.org/spreadsheetml/2006/main" headerRowCount="0" ref="R7:T11" displayName="Table_31" name="Table_31" id="10">
  <tableColumns count="3">
    <tableColumn name="Column1" id="1"/>
    <tableColumn name="Column2" id="2"/>
    <tableColumn name="Column3" id="3"/>
  </tableColumns>
  <tableStyleInfo name="BALANÇO DE POTENCIAS QDL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2.xml><?xml version="1.0" encoding="utf-8"?>
<table xmlns="http://schemas.openxmlformats.org/spreadsheetml/2006/main" headerRowCount="0" ref="L13:L15" displayName="Table_34" name="Table_34" id="11">
  <tableColumns count="1">
    <tableColumn name="Column1" id="1"/>
  </tableColumns>
  <tableStyleInfo name="BALANÇO DE POTENCIAS QDL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3.xml><?xml version="1.0" encoding="utf-8"?>
<table xmlns="http://schemas.openxmlformats.org/spreadsheetml/2006/main" headerRowCount="0" ref="Q13:Q15" displayName="Table_35" name="Table_35" id="12">
  <tableColumns count="1">
    <tableColumn name="Column1" id="1"/>
  </tableColumns>
  <tableStyleInfo name="BALANÇO DE POTENCIAS QDL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4.xml><?xml version="1.0" encoding="utf-8"?>
<table xmlns="http://schemas.openxmlformats.org/spreadsheetml/2006/main" headerRowCount="0" ref="L19:L21" displayName="Table_36" name="Table_36" id="13">
  <tableColumns count="1">
    <tableColumn name="Column1" id="1"/>
  </tableColumns>
  <tableStyleInfo name="BALANÇO DE POTENCIAS QDL-style 1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5.xml><?xml version="1.0" encoding="utf-8"?>
<table xmlns="http://schemas.openxmlformats.org/spreadsheetml/2006/main" headerRowCount="0" ref="Q19:Q21" displayName="Table_37" name="Table_37" id="14">
  <tableColumns count="1">
    <tableColumn name="Column1" id="1"/>
  </tableColumns>
  <tableStyleInfo name="BALANÇO DE POTENCIAS QDL-style 1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6.xml><?xml version="1.0" encoding="utf-8"?>
<table xmlns="http://schemas.openxmlformats.org/spreadsheetml/2006/main" headerRowCount="0" ref="L25:L27" displayName="Table_38" name="Table_38" id="15">
  <tableColumns count="1">
    <tableColumn name="Column1" id="1"/>
  </tableColumns>
  <tableStyleInfo name="BALANÇO DE POTENCIAS QDL-style 1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7.xml><?xml version="1.0" encoding="utf-8"?>
<table xmlns="http://schemas.openxmlformats.org/spreadsheetml/2006/main" headerRowCount="0" ref="Q25:Q27" displayName="Table_39" name="Table_39" id="16">
  <tableColumns count="1">
    <tableColumn name="Column1" id="1"/>
  </tableColumns>
  <tableStyleInfo name="BALANÇO DE POTENCIAS QDL-style 1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8.xml><?xml version="1.0" encoding="utf-8"?>
<table xmlns="http://schemas.openxmlformats.org/spreadsheetml/2006/main" headerRowCount="0" ref="Q34" displayName="Table_40" name="Table_40" id="18">
  <tableColumns count="1">
    <tableColumn name="Column1" id="1"/>
  </tableColumns>
  <tableStyleInfo name="BALANÇO DE POTENCIAS QDL-style 15" showColumnStripes="0" showFirstColumn="1" showLastColumn="1" showRowStripes="1"/>
</table>
</file>

<file path=xl/tables/table49.xml><?xml version="1.0" encoding="utf-8"?>
<table xmlns="http://schemas.openxmlformats.org/spreadsheetml/2006/main" headerRowCount="0" ref="B41:G43" displayName="Table_41" name="Table_41" id="1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ALANÇO DE POTENCIAS QDL-style 16" showColumnStripes="0" showFirstColumn="1" showLastColumn="1" showRowStripes="1"/>
</table>
</file>

<file path=xl/tables/table50.xml><?xml version="1.0" encoding="utf-8"?>
<table xmlns="http://schemas.openxmlformats.org/spreadsheetml/2006/main" headerRowCount="0" ref="L45:L47" displayName="Table_42" name="Table_42" id="21">
  <tableColumns count="1">
    <tableColumn name="Column1" id="1"/>
  </tableColumns>
  <tableStyleInfo name="BALANÇO DE POTENCIAS QDL-style 1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1.xml><?xml version="1.0" encoding="utf-8"?>
<table xmlns="http://schemas.openxmlformats.org/spreadsheetml/2006/main" headerRowCount="0" ref="Q45:Q47" displayName="Table_43" name="Table_43" id="23">
  <tableColumns count="1">
    <tableColumn name="Column1" id="1"/>
  </tableColumns>
  <tableStyleInfo name="BALANÇO DE POTENCIAS QDL-style 1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2.xml><?xml version="1.0" encoding="utf-8"?>
<table xmlns="http://schemas.openxmlformats.org/spreadsheetml/2006/main" headerRowCount="0" ref="L51:L54" displayName="Table_44" name="Table_44" id="24">
  <tableColumns count="1">
    <tableColumn name="Column1" id="1"/>
  </tableColumns>
  <tableStyleInfo name="BALANÇO DE POTENCIAS QDL-style 1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3.xml><?xml version="1.0" encoding="utf-8"?>
<table xmlns="http://schemas.openxmlformats.org/spreadsheetml/2006/main" headerRowCount="0" ref="Q51:Q54" displayName="Table_45" name="Table_45" id="26">
  <tableColumns count="1">
    <tableColumn name="Column1" id="1"/>
  </tableColumns>
  <tableStyleInfo name="BALANÇO DE POTENCIAS QDL-style 2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4.xml><?xml version="1.0" encoding="utf-8"?>
<table xmlns="http://schemas.openxmlformats.org/spreadsheetml/2006/main" headerRowCount="0" ref="L58:L60" displayName="Table_47" name="Table_47" id="29">
  <tableColumns count="1">
    <tableColumn name="Column1" id="1"/>
  </tableColumns>
  <tableStyleInfo name="BALANÇO DE POTENCIAS QDL-style 2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5.xml><?xml version="1.0" encoding="utf-8"?>
<table xmlns="http://schemas.openxmlformats.org/spreadsheetml/2006/main" headerRowCount="0" ref="Q58:Q60" displayName="Table_48" name="Table_48" id="30">
  <tableColumns count="1">
    <tableColumn name="Column1" id="1"/>
  </tableColumns>
  <tableStyleInfo name="BALANÇO DE POTENCIAS QDL-style 2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6.xml><?xml version="1.0" encoding="utf-8"?>
<table xmlns="http://schemas.openxmlformats.org/spreadsheetml/2006/main" headerRowCount="0" ref="M2:O29" displayName="Table_56" name="Table_56" id="56">
  <tableColumns count="3">
    <tableColumn name="Column1" id="1"/>
    <tableColumn name="Column2" id="2"/>
    <tableColumn name="Column3" id="3"/>
  </tableColumns>
  <tableStyleInfo name="BALANÇO TOTAL-style" showColumnStripes="0" showFirstColumn="1" showLastColumn="1" showRowStripes="1"/>
</table>
</file>

<file path=xl/tables/table57.xml><?xml version="1.0" encoding="utf-8"?>
<table xmlns="http://schemas.openxmlformats.org/spreadsheetml/2006/main" headerRowCount="0" ref="D7:D19" displayName="Table_57" name="Table_57" id="57">
  <tableColumns count="1">
    <tableColumn name="Column1" id="1"/>
  </tableColumns>
  <tableStyleInfo name="BALANÇO TOTAL-style 2" showColumnStripes="0" showFirstColumn="1" showLastColumn="1" showRowStripes="1"/>
</table>
</file>

<file path=xl/tables/table58.xml><?xml version="1.0" encoding="utf-8"?>
<table xmlns="http://schemas.openxmlformats.org/spreadsheetml/2006/main" headerRowCount="0" ref="L7:L19" displayName="Table_58" name="Table_58" id="58">
  <tableColumns count="1">
    <tableColumn name="Column1" id="1"/>
  </tableColumns>
  <tableStyleInfo name="BALANÇO TOTAL-style 3" showColumnStripes="0" showFirstColumn="1" showLastColumn="1" showRowStripes="1"/>
</table>
</file>

<file path=xl/tables/table59.xml><?xml version="1.0" encoding="utf-8"?>
<table xmlns="http://schemas.openxmlformats.org/spreadsheetml/2006/main" headerRowCount="0" ref="E26:G26" displayName="Table_59" name="Table_59" id="59">
  <tableColumns count="3">
    <tableColumn name="Column1" id="1"/>
    <tableColumn name="Column2" id="2"/>
    <tableColumn name="Column3" id="3"/>
  </tableColumns>
  <tableStyleInfo name="BALANÇO TOTAL-style 4" showColumnStripes="0" showFirstColumn="1" showLastColumn="1" showRowStripes="1"/>
</table>
</file>

<file path=xl/tables/table60.xml><?xml version="1.0" encoding="utf-8"?>
<table xmlns="http://schemas.openxmlformats.org/spreadsheetml/2006/main" headerRowCount="0" ref="M31:O43" displayName="Table_60" name="Table_60" id="60">
  <tableColumns count="3">
    <tableColumn name="Column1" id="1"/>
    <tableColumn name="Column2" id="2"/>
    <tableColumn name="Column3" id="3"/>
  </tableColumns>
  <tableStyleInfo name="BALANÇO TOTAL-style 5" showColumnStripes="0" showFirstColumn="1" showLastColumn="1" showRowStripes="1"/>
</table>
</file>

<file path=xl/tables/table61.xml><?xml version="1.0" encoding="utf-8"?>
<table xmlns="http://schemas.openxmlformats.org/spreadsheetml/2006/main" headerRowCount="0" ref="E50:G50" displayName="Table_61" name="Table_61" id="61">
  <tableColumns count="3">
    <tableColumn name="Column1" id="1"/>
    <tableColumn name="Column2" id="2"/>
    <tableColumn name="Column3" id="3"/>
  </tableColumns>
  <tableStyleInfo name="BALANÇO TOTAL-style 6" showColumnStripes="0" showFirstColumn="1" showLastColumn="1" showRowStripes="1"/>
</table>
</file>

<file path=xl/tables/table62.xml><?xml version="1.0" encoding="utf-8"?>
<table xmlns="http://schemas.openxmlformats.org/spreadsheetml/2006/main" headerRowCount="0" ref="M56:O56" displayName="Table_62" name="Table_62" id="62">
  <tableColumns count="3">
    <tableColumn name="Column1" id="1"/>
    <tableColumn name="Column2" id="2"/>
    <tableColumn name="Column3" id="3"/>
  </tableColumns>
  <tableStyleInfo name="BALANÇO TOTAL-style 7" showColumnStripes="0" showFirstColumn="1" showLastColumn="1" showRowStripes="1"/>
</table>
</file>

<file path=xl/tables/table63.xml><?xml version="1.0" encoding="utf-8"?>
<table xmlns="http://schemas.openxmlformats.org/spreadsheetml/2006/main" headerRowCount="0" ref="L70:L80" displayName="Table_63" name="Table_63" id="63">
  <tableColumns count="1">
    <tableColumn name="Column1" id="1"/>
  </tableColumns>
  <tableStyleInfo name="BALANÇO TOTAL-style 8" showColumnStripes="0" showFirstColumn="1" showLastColumn="1" showRowStripes="1"/>
</table>
</file>

<file path=xl/tables/table64.xml><?xml version="1.0" encoding="utf-8"?>
<table xmlns="http://schemas.openxmlformats.org/spreadsheetml/2006/main" headerRowCount="0" ref="A1:F9" displayName="Table_64" name="Table_64" id="6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DGL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5.xml><?xml version="1.0" encoding="utf-8"?>
<table xmlns="http://schemas.openxmlformats.org/spreadsheetml/2006/main" headerRowCount="0" ref="Q7:Q14" displayName="Table_65" name="Table_65" id="65">
  <tableColumns count="1">
    <tableColumn name="Column1" id="1"/>
  </tableColumns>
  <tableStyleInfo name="QDGL-style 2" showColumnStripes="0" showFirstColumn="1" showLastColumn="1" showRowStripes="1"/>
</table>
</file>

<file path=xl/tables/table66.xml><?xml version="1.0" encoding="utf-8"?>
<table xmlns="http://schemas.openxmlformats.org/spreadsheetml/2006/main" headerRowCount="0" ref="S11:U11" displayName="Table_66" name="Table_66" id="66">
  <tableColumns count="3">
    <tableColumn name="Column1" id="1"/>
    <tableColumn name="Column2" id="2"/>
    <tableColumn name="Column3" id="3"/>
  </tableColumns>
  <tableStyleInfo name="QDGL-style 3" showColumnStripes="0" showFirstColumn="1" showLastColumn="1" showRowStripes="1"/>
</table>
</file>

<file path=xl/tables/table67.xml><?xml version="1.0" encoding="utf-8"?>
<table xmlns="http://schemas.openxmlformats.org/spreadsheetml/2006/main" headerRowCount="0" ref="B21:L22" displayName="Table_67" name="Table_67" id="67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QDGL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2F40"/>
      </a:dk1>
      <a:lt1>
        <a:srgbClr val="FFFFFF"/>
      </a:lt1>
      <a:dk2>
        <a:srgbClr val="1A2F40"/>
      </a:dk2>
      <a:lt2>
        <a:srgbClr val="FFFFFF"/>
      </a:lt2>
      <a:accent1>
        <a:srgbClr val="C93232"/>
      </a:accent1>
      <a:accent2>
        <a:srgbClr val="E27228"/>
      </a:accent2>
      <a:accent3>
        <a:srgbClr val="0D398C"/>
      </a:accent3>
      <a:accent4>
        <a:srgbClr val="FC4479"/>
      </a:accent4>
      <a:accent5>
        <a:srgbClr val="DCDC12"/>
      </a:accent5>
      <a:accent6>
        <a:srgbClr val="1F95D1"/>
      </a:accent6>
      <a:hlink>
        <a:srgbClr val="1F95D1"/>
      </a:hlink>
      <a:folHlink>
        <a:srgbClr val="1F95D1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table" Target="../tables/table7.xml"/><Relationship Id="rId22" Type="http://schemas.openxmlformats.org/officeDocument/2006/relationships/table" Target="../tables/table9.xml"/><Relationship Id="rId21" Type="http://schemas.openxmlformats.org/officeDocument/2006/relationships/table" Target="../tables/table8.xml"/><Relationship Id="rId24" Type="http://schemas.openxmlformats.org/officeDocument/2006/relationships/table" Target="../tables/table11.xml"/><Relationship Id="rId23" Type="http://schemas.openxmlformats.org/officeDocument/2006/relationships/table" Target="../tables/table10.xml"/><Relationship Id="rId1" Type="http://schemas.openxmlformats.org/officeDocument/2006/relationships/drawing" Target="../drawings/drawing2.xml"/><Relationship Id="rId15" Type="http://schemas.openxmlformats.org/officeDocument/2006/relationships/table" Target="../tables/table2.xml"/><Relationship Id="rId14" Type="http://schemas.openxmlformats.org/officeDocument/2006/relationships/table" Target="../tables/table1.xml"/><Relationship Id="rId25" Type="http://schemas.openxmlformats.org/officeDocument/2006/relationships/table" Target="../tables/table12.xml"/><Relationship Id="rId17" Type="http://schemas.openxmlformats.org/officeDocument/2006/relationships/table" Target="../tables/table4.xml"/><Relationship Id="rId16" Type="http://schemas.openxmlformats.org/officeDocument/2006/relationships/table" Target="../tables/table3.xml"/><Relationship Id="rId19" Type="http://schemas.openxmlformats.org/officeDocument/2006/relationships/table" Target="../tables/table6.xml"/><Relationship Id="rId18" Type="http://schemas.openxmlformats.org/officeDocument/2006/relationships/table" Target="../tables/table5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table" Target="../tables/table30.xml"/><Relationship Id="rId31" Type="http://schemas.openxmlformats.org/officeDocument/2006/relationships/table" Target="../tables/table21.xml"/><Relationship Id="rId42" Type="http://schemas.openxmlformats.org/officeDocument/2006/relationships/table" Target="../tables/table32.xml"/><Relationship Id="rId30" Type="http://schemas.openxmlformats.org/officeDocument/2006/relationships/table" Target="../tables/table20.xml"/><Relationship Id="rId41" Type="http://schemas.openxmlformats.org/officeDocument/2006/relationships/table" Target="../tables/table31.xml"/><Relationship Id="rId33" Type="http://schemas.openxmlformats.org/officeDocument/2006/relationships/table" Target="../tables/table23.xml"/><Relationship Id="rId32" Type="http://schemas.openxmlformats.org/officeDocument/2006/relationships/table" Target="../tables/table22.xml"/><Relationship Id="rId43" Type="http://schemas.openxmlformats.org/officeDocument/2006/relationships/table" Target="../tables/table33.xml"/><Relationship Id="rId24" Type="http://schemas.openxmlformats.org/officeDocument/2006/relationships/table" Target="../tables/table14.xml"/><Relationship Id="rId35" Type="http://schemas.openxmlformats.org/officeDocument/2006/relationships/table" Target="../tables/table25.xml"/><Relationship Id="rId23" Type="http://schemas.openxmlformats.org/officeDocument/2006/relationships/table" Target="../tables/table13.xml"/><Relationship Id="rId34" Type="http://schemas.openxmlformats.org/officeDocument/2006/relationships/table" Target="../tables/table24.xml"/><Relationship Id="rId1" Type="http://schemas.openxmlformats.org/officeDocument/2006/relationships/drawing" Target="../drawings/drawing3.xml"/><Relationship Id="rId26" Type="http://schemas.openxmlformats.org/officeDocument/2006/relationships/table" Target="../tables/table16.xml"/><Relationship Id="rId37" Type="http://schemas.openxmlformats.org/officeDocument/2006/relationships/table" Target="../tables/table27.xml"/><Relationship Id="rId25" Type="http://schemas.openxmlformats.org/officeDocument/2006/relationships/table" Target="../tables/table15.xml"/><Relationship Id="rId36" Type="http://schemas.openxmlformats.org/officeDocument/2006/relationships/table" Target="../tables/table26.xml"/><Relationship Id="rId28" Type="http://schemas.openxmlformats.org/officeDocument/2006/relationships/table" Target="../tables/table18.xml"/><Relationship Id="rId39" Type="http://schemas.openxmlformats.org/officeDocument/2006/relationships/table" Target="../tables/table29.xml"/><Relationship Id="rId27" Type="http://schemas.openxmlformats.org/officeDocument/2006/relationships/table" Target="../tables/table17.xml"/><Relationship Id="rId38" Type="http://schemas.openxmlformats.org/officeDocument/2006/relationships/table" Target="../tables/table28.xml"/><Relationship Id="rId29" Type="http://schemas.openxmlformats.org/officeDocument/2006/relationships/table" Target="../tables/table19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table" Target="../tables/table50.xml"/><Relationship Id="rId31" Type="http://schemas.openxmlformats.org/officeDocument/2006/relationships/table" Target="../tables/table41.xml"/><Relationship Id="rId42" Type="http://schemas.openxmlformats.org/officeDocument/2006/relationships/table" Target="../tables/table52.xml"/><Relationship Id="rId30" Type="http://schemas.openxmlformats.org/officeDocument/2006/relationships/table" Target="../tables/table40.xml"/><Relationship Id="rId41" Type="http://schemas.openxmlformats.org/officeDocument/2006/relationships/table" Target="../tables/table51.xml"/><Relationship Id="rId33" Type="http://schemas.openxmlformats.org/officeDocument/2006/relationships/table" Target="../tables/table43.xml"/><Relationship Id="rId44" Type="http://schemas.openxmlformats.org/officeDocument/2006/relationships/table" Target="../tables/table54.xml"/><Relationship Id="rId32" Type="http://schemas.openxmlformats.org/officeDocument/2006/relationships/table" Target="../tables/table42.xml"/><Relationship Id="rId43" Type="http://schemas.openxmlformats.org/officeDocument/2006/relationships/table" Target="../tables/table53.xml"/><Relationship Id="rId24" Type="http://schemas.openxmlformats.org/officeDocument/2006/relationships/table" Target="../tables/table34.xml"/><Relationship Id="rId35" Type="http://schemas.openxmlformats.org/officeDocument/2006/relationships/table" Target="../tables/table45.xml"/><Relationship Id="rId34" Type="http://schemas.openxmlformats.org/officeDocument/2006/relationships/table" Target="../tables/table44.xml"/><Relationship Id="rId45" Type="http://schemas.openxmlformats.org/officeDocument/2006/relationships/table" Target="../tables/table55.xml"/><Relationship Id="rId1" Type="http://schemas.openxmlformats.org/officeDocument/2006/relationships/drawing" Target="../drawings/drawing4.xml"/><Relationship Id="rId26" Type="http://schemas.openxmlformats.org/officeDocument/2006/relationships/table" Target="../tables/table36.xml"/><Relationship Id="rId37" Type="http://schemas.openxmlformats.org/officeDocument/2006/relationships/table" Target="../tables/table47.xml"/><Relationship Id="rId25" Type="http://schemas.openxmlformats.org/officeDocument/2006/relationships/table" Target="../tables/table35.xml"/><Relationship Id="rId36" Type="http://schemas.openxmlformats.org/officeDocument/2006/relationships/table" Target="../tables/table46.xml"/><Relationship Id="rId28" Type="http://schemas.openxmlformats.org/officeDocument/2006/relationships/table" Target="../tables/table38.xml"/><Relationship Id="rId39" Type="http://schemas.openxmlformats.org/officeDocument/2006/relationships/table" Target="../tables/table49.xml"/><Relationship Id="rId27" Type="http://schemas.openxmlformats.org/officeDocument/2006/relationships/table" Target="../tables/table37.xml"/><Relationship Id="rId38" Type="http://schemas.openxmlformats.org/officeDocument/2006/relationships/table" Target="../tables/table48.xml"/><Relationship Id="rId29" Type="http://schemas.openxmlformats.org/officeDocument/2006/relationships/table" Target="../tables/table39.xm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table" Target="../tables/table57.xml"/><Relationship Id="rId10" Type="http://schemas.openxmlformats.org/officeDocument/2006/relationships/table" Target="../tables/table56.xml"/><Relationship Id="rId13" Type="http://schemas.openxmlformats.org/officeDocument/2006/relationships/table" Target="../tables/table59.xml"/><Relationship Id="rId12" Type="http://schemas.openxmlformats.org/officeDocument/2006/relationships/table" Target="../tables/table58.xml"/><Relationship Id="rId1" Type="http://schemas.openxmlformats.org/officeDocument/2006/relationships/drawing" Target="../drawings/drawing5.xml"/><Relationship Id="rId15" Type="http://schemas.openxmlformats.org/officeDocument/2006/relationships/table" Target="../tables/table61.xml"/><Relationship Id="rId14" Type="http://schemas.openxmlformats.org/officeDocument/2006/relationships/table" Target="../tables/table60.xml"/><Relationship Id="rId17" Type="http://schemas.openxmlformats.org/officeDocument/2006/relationships/table" Target="../tables/table63.xml"/><Relationship Id="rId16" Type="http://schemas.openxmlformats.org/officeDocument/2006/relationships/table" Target="../tables/table6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9" Type="http://schemas.openxmlformats.org/officeDocument/2006/relationships/table" Target="../tables/table67.xml"/><Relationship Id="rId6" Type="http://schemas.openxmlformats.org/officeDocument/2006/relationships/table" Target="../tables/table64.xml"/><Relationship Id="rId7" Type="http://schemas.openxmlformats.org/officeDocument/2006/relationships/table" Target="../tables/table65.xml"/><Relationship Id="rId8" Type="http://schemas.openxmlformats.org/officeDocument/2006/relationships/table" Target="../tables/table6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1" width="16.44"/>
    <col customWidth="1" min="2" max="2" width="13.44"/>
    <col customWidth="1" min="3" max="3" width="12.44"/>
    <col customWidth="1" min="6" max="6" width="11.89"/>
    <col customWidth="1" min="10" max="10" width="13.22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1</v>
      </c>
      <c r="B2" s="5">
        <v>1.0</v>
      </c>
      <c r="C2" s="5">
        <v>2.0</v>
      </c>
      <c r="D2" s="5">
        <v>3.0</v>
      </c>
      <c r="E2" s="5">
        <v>4.0</v>
      </c>
      <c r="F2" s="5">
        <v>5.0</v>
      </c>
      <c r="G2" s="5">
        <v>6.0</v>
      </c>
      <c r="H2" s="5">
        <v>7.0</v>
      </c>
      <c r="I2" s="5">
        <v>8.0</v>
      </c>
      <c r="J2" s="5">
        <v>9.0</v>
      </c>
      <c r="K2" s="5">
        <v>12.0</v>
      </c>
      <c r="L2" s="5">
        <v>16.0</v>
      </c>
      <c r="M2" s="5">
        <v>20.0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5">
        <v>1.0</v>
      </c>
      <c r="B3" s="6">
        <v>1.0</v>
      </c>
      <c r="C3" s="6">
        <v>0.8</v>
      </c>
      <c r="D3" s="6">
        <v>0.7</v>
      </c>
      <c r="E3" s="6">
        <v>0.65</v>
      </c>
      <c r="F3" s="6">
        <v>0.6</v>
      </c>
      <c r="G3" s="6">
        <v>0.57</v>
      </c>
      <c r="H3" s="6">
        <v>0.54</v>
      </c>
      <c r="I3" s="6">
        <v>0.52</v>
      </c>
      <c r="J3" s="6">
        <v>0.5</v>
      </c>
      <c r="K3" s="6">
        <v>0.45</v>
      </c>
      <c r="L3" s="6">
        <v>0.41</v>
      </c>
      <c r="M3" s="6">
        <v>0.38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5">
        <v>2.0</v>
      </c>
      <c r="B4" s="6">
        <v>1.0</v>
      </c>
      <c r="C4" s="6">
        <v>0.85</v>
      </c>
      <c r="D4" s="6">
        <v>0.79</v>
      </c>
      <c r="E4" s="6">
        <v>0.75</v>
      </c>
      <c r="F4" s="6">
        <v>0.73</v>
      </c>
      <c r="G4" s="6">
        <v>0.72</v>
      </c>
      <c r="H4" s="6">
        <v>0.72</v>
      </c>
      <c r="I4" s="6">
        <v>0.71</v>
      </c>
      <c r="J4" s="6">
        <v>0.7</v>
      </c>
      <c r="K4" s="6">
        <v>0.7</v>
      </c>
      <c r="L4" s="6">
        <v>0.7</v>
      </c>
      <c r="M4" s="6">
        <v>0.7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5">
        <v>3.0</v>
      </c>
      <c r="B5" s="6">
        <v>0.95</v>
      </c>
      <c r="C5" s="6">
        <v>0.81</v>
      </c>
      <c r="D5" s="6">
        <v>0.72</v>
      </c>
      <c r="E5" s="6">
        <v>0.68</v>
      </c>
      <c r="F5" s="6">
        <v>0.66</v>
      </c>
      <c r="G5" s="6">
        <v>0.63</v>
      </c>
      <c r="H5" s="6">
        <v>0.63</v>
      </c>
      <c r="I5" s="6">
        <v>0.62</v>
      </c>
      <c r="J5" s="6">
        <v>0.61</v>
      </c>
      <c r="K5" s="6">
        <v>0.61</v>
      </c>
      <c r="L5" s="6">
        <v>0.61</v>
      </c>
      <c r="M5" s="6">
        <v>0.61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5">
        <v>4.0</v>
      </c>
      <c r="B6" s="6">
        <v>1.0</v>
      </c>
      <c r="C6" s="6">
        <v>0.88</v>
      </c>
      <c r="D6" s="6">
        <v>0.82</v>
      </c>
      <c r="E6" s="6">
        <v>0.77</v>
      </c>
      <c r="F6" s="6">
        <v>0.75</v>
      </c>
      <c r="G6" s="6">
        <v>0.73</v>
      </c>
      <c r="H6" s="6">
        <v>0.73</v>
      </c>
      <c r="I6" s="6">
        <v>0.72</v>
      </c>
      <c r="J6" s="6">
        <v>0.72</v>
      </c>
      <c r="K6" s="6">
        <v>0.72</v>
      </c>
      <c r="L6" s="6">
        <v>0.72</v>
      </c>
      <c r="M6" s="6">
        <v>0.72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5">
        <v>5.0</v>
      </c>
      <c r="B7" s="6">
        <v>1.0</v>
      </c>
      <c r="C7" s="6">
        <v>0.87</v>
      </c>
      <c r="D7" s="6">
        <v>0.82</v>
      </c>
      <c r="E7" s="6">
        <v>0.8</v>
      </c>
      <c r="F7" s="6">
        <v>0.8</v>
      </c>
      <c r="G7" s="6">
        <v>0.79</v>
      </c>
      <c r="H7" s="6">
        <v>0.79</v>
      </c>
      <c r="I7" s="6">
        <v>0.78</v>
      </c>
      <c r="J7" s="6">
        <v>0.78</v>
      </c>
      <c r="K7" s="6">
        <v>0.78</v>
      </c>
      <c r="L7" s="6">
        <v>0.78</v>
      </c>
      <c r="M7" s="6">
        <v>0.78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1" t="s">
        <v>8</v>
      </c>
      <c r="B9" s="2"/>
      <c r="C9" s="3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5" t="s">
        <v>9</v>
      </c>
      <c r="B10" s="5" t="s">
        <v>10</v>
      </c>
      <c r="C10" s="5" t="s">
        <v>11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6">
        <v>45.0</v>
      </c>
      <c r="B11" s="6">
        <v>0.79</v>
      </c>
      <c r="C11" s="6">
        <v>0.87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26" t="s">
        <v>20</v>
      </c>
      <c r="B13" s="28" t="s">
        <v>21</v>
      </c>
      <c r="C13" s="31"/>
      <c r="D13" s="31"/>
      <c r="E13" s="32"/>
      <c r="F13" s="28" t="s">
        <v>26</v>
      </c>
      <c r="G13" s="32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34"/>
      <c r="B14" s="28" t="s">
        <v>10</v>
      </c>
      <c r="C14" s="32"/>
      <c r="D14" s="28" t="s">
        <v>11</v>
      </c>
      <c r="E14" s="32"/>
      <c r="F14" s="36" t="s">
        <v>33</v>
      </c>
      <c r="G14" s="36" t="s">
        <v>35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40"/>
      <c r="B15" s="5">
        <v>2.0</v>
      </c>
      <c r="C15" s="5">
        <v>3.0</v>
      </c>
      <c r="D15" s="5">
        <v>2.0</v>
      </c>
      <c r="E15" s="5">
        <v>3.0</v>
      </c>
      <c r="F15" s="5">
        <v>2.0</v>
      </c>
      <c r="G15" s="5">
        <v>3.0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6"/>
      <c r="B16" s="6" t="str">
        <f>B13&amp;B14&amp;B15</f>
        <v>B1PVC2</v>
      </c>
      <c r="C16" s="6" t="str">
        <f>B13&amp;B14&amp;C15</f>
        <v>B1PVC3</v>
      </c>
      <c r="D16" s="6" t="str">
        <f>B13&amp;D14&amp;D15</f>
        <v>B1EPR ou XLPE2</v>
      </c>
      <c r="E16" s="6" t="str">
        <f>B13&amp;D14&amp;E15</f>
        <v>B1EPR ou XLPE3</v>
      </c>
      <c r="F16" s="6" t="str">
        <f>F13&amp;F14&amp;F15</f>
        <v>FJustaposto2</v>
      </c>
      <c r="G16" s="6" t="str">
        <f>F13&amp;G14&amp;G15</f>
        <v>FTrifólio3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6">
        <v>0.5</v>
      </c>
      <c r="B17" s="6">
        <v>9.0</v>
      </c>
      <c r="C17" s="6">
        <v>8.0</v>
      </c>
      <c r="D17" s="6">
        <v>12.0</v>
      </c>
      <c r="E17" s="6">
        <v>10.0</v>
      </c>
      <c r="F17" s="6">
        <v>11.0</v>
      </c>
      <c r="G17" s="6">
        <v>8.0</v>
      </c>
      <c r="H17" s="4"/>
      <c r="I17" s="53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6">
        <v>0.75</v>
      </c>
      <c r="B18" s="6">
        <v>11.0</v>
      </c>
      <c r="C18" s="6">
        <v>10.0</v>
      </c>
      <c r="D18" s="6">
        <v>15.0</v>
      </c>
      <c r="E18" s="6">
        <v>13.0</v>
      </c>
      <c r="F18" s="6">
        <v>14.0</v>
      </c>
      <c r="G18" s="6">
        <v>11.0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6">
        <v>1.0</v>
      </c>
      <c r="B19" s="6">
        <v>14.0</v>
      </c>
      <c r="C19" s="6">
        <v>12.0</v>
      </c>
      <c r="D19" s="6">
        <v>18.0</v>
      </c>
      <c r="E19" s="6">
        <v>16.0</v>
      </c>
      <c r="F19" s="6">
        <v>17.0</v>
      </c>
      <c r="G19" s="6">
        <v>13.0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6">
        <v>1.5</v>
      </c>
      <c r="B20" s="60">
        <v>17.5</v>
      </c>
      <c r="C20" s="60">
        <v>15.5</v>
      </c>
      <c r="D20" s="60">
        <v>23.0</v>
      </c>
      <c r="E20" s="60">
        <v>20.0</v>
      </c>
      <c r="F20" s="60">
        <v>22.0</v>
      </c>
      <c r="G20" s="60">
        <v>17.0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6">
        <v>2.5</v>
      </c>
      <c r="B21" s="6">
        <v>24.0</v>
      </c>
      <c r="C21" s="6">
        <v>21.0</v>
      </c>
      <c r="D21" s="6">
        <v>31.0</v>
      </c>
      <c r="E21" s="6">
        <v>28.0</v>
      </c>
      <c r="F21" s="6">
        <v>31.0</v>
      </c>
      <c r="G21" s="6">
        <v>24.0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6">
        <v>4.0</v>
      </c>
      <c r="B22" s="6">
        <v>32.0</v>
      </c>
      <c r="C22" s="6">
        <v>28.0</v>
      </c>
      <c r="D22" s="6">
        <v>42.0</v>
      </c>
      <c r="E22" s="6">
        <v>37.0</v>
      </c>
      <c r="F22" s="6">
        <v>41.0</v>
      </c>
      <c r="G22" s="6">
        <v>33.0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6">
        <v>6.0</v>
      </c>
      <c r="B23" s="6">
        <v>41.0</v>
      </c>
      <c r="C23" s="6">
        <v>36.0</v>
      </c>
      <c r="D23" s="6">
        <v>54.0</v>
      </c>
      <c r="E23" s="6">
        <v>48.0</v>
      </c>
      <c r="F23" s="6">
        <v>53.0</v>
      </c>
      <c r="G23" s="6">
        <v>43.0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6">
        <v>10.0</v>
      </c>
      <c r="B24" s="6">
        <v>57.0</v>
      </c>
      <c r="C24" s="6">
        <v>50.0</v>
      </c>
      <c r="D24" s="6">
        <v>75.0</v>
      </c>
      <c r="E24" s="6">
        <v>66.0</v>
      </c>
      <c r="F24" s="6">
        <v>73.0</v>
      </c>
      <c r="G24" s="6">
        <v>60.0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6">
        <v>16.0</v>
      </c>
      <c r="B25" s="6">
        <v>76.0</v>
      </c>
      <c r="C25" s="6">
        <v>68.0</v>
      </c>
      <c r="D25" s="6">
        <v>100.0</v>
      </c>
      <c r="E25" s="6">
        <v>88.0</v>
      </c>
      <c r="F25" s="6">
        <v>99.0</v>
      </c>
      <c r="G25" s="6">
        <v>82.0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6">
        <v>25.0</v>
      </c>
      <c r="B26" s="6">
        <v>101.0</v>
      </c>
      <c r="C26" s="6">
        <v>89.0</v>
      </c>
      <c r="D26" s="6">
        <v>133.0</v>
      </c>
      <c r="E26" s="6">
        <v>117.0</v>
      </c>
      <c r="F26" s="6">
        <v>131.0</v>
      </c>
      <c r="G26" s="6">
        <v>110.0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6">
        <v>35.0</v>
      </c>
      <c r="B27" s="6">
        <v>125.0</v>
      </c>
      <c r="C27" s="6">
        <v>110.0</v>
      </c>
      <c r="D27" s="6">
        <v>164.0</v>
      </c>
      <c r="E27" s="6">
        <v>144.0</v>
      </c>
      <c r="F27" s="6">
        <v>162.0</v>
      </c>
      <c r="G27" s="6">
        <v>137.0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6">
        <v>50.0</v>
      </c>
      <c r="B28" s="6">
        <v>151.0</v>
      </c>
      <c r="C28" s="6">
        <v>134.0</v>
      </c>
      <c r="D28" s="6">
        <v>198.0</v>
      </c>
      <c r="E28" s="6">
        <v>175.0</v>
      </c>
      <c r="F28" s="6">
        <v>196.0</v>
      </c>
      <c r="G28" s="6">
        <v>167.0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6">
        <v>70.0</v>
      </c>
      <c r="B29" s="6">
        <v>192.0</v>
      </c>
      <c r="C29" s="6">
        <v>141.0</v>
      </c>
      <c r="D29" s="6">
        <v>253.0</v>
      </c>
      <c r="E29" s="6">
        <v>222.0</v>
      </c>
      <c r="F29" s="6">
        <v>251.0</v>
      </c>
      <c r="G29" s="6">
        <v>216.0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6">
        <v>95.0</v>
      </c>
      <c r="B30" s="6">
        <v>232.0</v>
      </c>
      <c r="C30" s="6">
        <v>207.0</v>
      </c>
      <c r="D30" s="6">
        <v>306.0</v>
      </c>
      <c r="E30" s="6">
        <v>269.0</v>
      </c>
      <c r="F30" s="6">
        <v>304.0</v>
      </c>
      <c r="G30" s="6">
        <v>264.0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6">
        <v>120.0</v>
      </c>
      <c r="B31" s="6">
        <v>269.0</v>
      </c>
      <c r="C31" s="6">
        <v>239.0</v>
      </c>
      <c r="D31" s="6">
        <v>354.0</v>
      </c>
      <c r="E31" s="6">
        <v>312.0</v>
      </c>
      <c r="F31" s="6">
        <v>352.0</v>
      </c>
      <c r="G31" s="6">
        <v>308.0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6">
        <v>150.0</v>
      </c>
      <c r="B32" s="6">
        <v>309.0</v>
      </c>
      <c r="C32" s="6">
        <v>275.0</v>
      </c>
      <c r="D32" s="6">
        <v>407.0</v>
      </c>
      <c r="E32" s="6">
        <v>358.0</v>
      </c>
      <c r="F32" s="6">
        <v>406.0</v>
      </c>
      <c r="G32" s="6">
        <v>356.0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6">
        <v>185.0</v>
      </c>
      <c r="B33" s="6">
        <v>353.0</v>
      </c>
      <c r="C33" s="6">
        <v>314.0</v>
      </c>
      <c r="D33" s="6">
        <v>464.0</v>
      </c>
      <c r="E33" s="6">
        <v>408.0</v>
      </c>
      <c r="F33" s="6">
        <v>463.0</v>
      </c>
      <c r="G33" s="6">
        <v>409.0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6">
        <v>240.0</v>
      </c>
      <c r="B34" s="6">
        <v>415.0</v>
      </c>
      <c r="C34" s="6">
        <v>370.0</v>
      </c>
      <c r="D34" s="6">
        <v>546.0</v>
      </c>
      <c r="E34" s="6">
        <v>481.0</v>
      </c>
      <c r="F34" s="6">
        <v>546.0</v>
      </c>
      <c r="G34" s="6">
        <v>485.0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81" t="s">
        <v>20</v>
      </c>
      <c r="B36" s="2"/>
      <c r="C36" s="3"/>
      <c r="D36" s="6"/>
      <c r="E36" s="6">
        <v>0.5</v>
      </c>
      <c r="F36" s="6">
        <v>0.75</v>
      </c>
      <c r="G36" s="6">
        <v>1.0</v>
      </c>
      <c r="H36" s="6">
        <v>1.5</v>
      </c>
      <c r="I36" s="6">
        <v>2.5</v>
      </c>
      <c r="J36" s="6">
        <v>4.0</v>
      </c>
      <c r="K36" s="6">
        <v>6.0</v>
      </c>
      <c r="L36" s="6">
        <v>10.0</v>
      </c>
      <c r="M36" s="6">
        <v>16.0</v>
      </c>
      <c r="N36" s="6">
        <v>25.0</v>
      </c>
      <c r="O36" s="6">
        <v>35.0</v>
      </c>
      <c r="P36" s="6">
        <v>50.0</v>
      </c>
      <c r="Q36" s="6">
        <v>70.0</v>
      </c>
      <c r="R36" s="6">
        <v>95.0</v>
      </c>
      <c r="S36" s="6">
        <v>120.0</v>
      </c>
      <c r="T36" s="6">
        <v>150.0</v>
      </c>
      <c r="U36" s="6">
        <v>185.0</v>
      </c>
      <c r="V36" s="6">
        <v>240.0</v>
      </c>
      <c r="W36" s="4"/>
      <c r="X36" s="4"/>
      <c r="Y36" s="4"/>
      <c r="Z36" s="4"/>
    </row>
    <row r="37" ht="15.75" customHeight="1">
      <c r="A37" s="82" t="s">
        <v>21</v>
      </c>
      <c r="B37" s="82" t="s">
        <v>10</v>
      </c>
      <c r="C37" s="5">
        <v>2.0</v>
      </c>
      <c r="D37" s="6" t="str">
        <f>A37&amp;B37&amp;C37</f>
        <v>B1PVC2</v>
      </c>
      <c r="E37" s="6">
        <v>9.0</v>
      </c>
      <c r="F37" s="6">
        <v>11.0</v>
      </c>
      <c r="G37" s="6">
        <v>14.0</v>
      </c>
      <c r="H37" s="6">
        <v>17.5</v>
      </c>
      <c r="I37" s="6">
        <v>24.0</v>
      </c>
      <c r="J37" s="6">
        <v>32.0</v>
      </c>
      <c r="K37" s="6">
        <v>41.0</v>
      </c>
      <c r="L37" s="6">
        <v>57.0</v>
      </c>
      <c r="M37" s="6">
        <v>76.0</v>
      </c>
      <c r="N37" s="6">
        <v>101.0</v>
      </c>
      <c r="O37" s="6">
        <v>125.0</v>
      </c>
      <c r="P37" s="6">
        <v>151.0</v>
      </c>
      <c r="Q37" s="6">
        <v>192.0</v>
      </c>
      <c r="R37" s="6">
        <v>232.0</v>
      </c>
      <c r="S37" s="6">
        <v>269.0</v>
      </c>
      <c r="T37" s="6">
        <v>309.0</v>
      </c>
      <c r="U37" s="6">
        <v>353.0</v>
      </c>
      <c r="V37" s="6">
        <v>415.0</v>
      </c>
      <c r="W37" s="4"/>
      <c r="X37" s="4"/>
      <c r="Y37" s="4"/>
      <c r="Z37" s="4"/>
    </row>
    <row r="38" ht="15.75" customHeight="1">
      <c r="A38" s="34"/>
      <c r="B38" s="40"/>
      <c r="C38" s="5">
        <v>3.0</v>
      </c>
      <c r="D38" s="6" t="str">
        <f>A37&amp;B37&amp;C38</f>
        <v>B1PVC3</v>
      </c>
      <c r="E38" s="6">
        <v>8.0</v>
      </c>
      <c r="F38" s="6">
        <v>10.0</v>
      </c>
      <c r="G38" s="6">
        <v>12.0</v>
      </c>
      <c r="H38" s="6">
        <v>15.5</v>
      </c>
      <c r="I38" s="6">
        <v>21.0</v>
      </c>
      <c r="J38" s="6">
        <v>28.0</v>
      </c>
      <c r="K38" s="6">
        <v>36.0</v>
      </c>
      <c r="L38" s="6">
        <v>50.0</v>
      </c>
      <c r="M38" s="6">
        <v>68.0</v>
      </c>
      <c r="N38" s="6">
        <v>89.0</v>
      </c>
      <c r="O38" s="6">
        <v>110.0</v>
      </c>
      <c r="P38" s="6">
        <v>134.0</v>
      </c>
      <c r="Q38" s="6">
        <v>141.0</v>
      </c>
      <c r="R38" s="6">
        <v>207.0</v>
      </c>
      <c r="S38" s="6">
        <v>239.0</v>
      </c>
      <c r="T38" s="6">
        <v>275.0</v>
      </c>
      <c r="U38" s="6">
        <v>314.0</v>
      </c>
      <c r="V38" s="6">
        <v>370.0</v>
      </c>
      <c r="W38" s="4"/>
      <c r="X38" s="4"/>
      <c r="Y38" s="4"/>
      <c r="Z38" s="4"/>
    </row>
    <row r="39" ht="15.75" customHeight="1">
      <c r="A39" s="34"/>
      <c r="B39" s="82" t="s">
        <v>11</v>
      </c>
      <c r="C39" s="5">
        <v>2.0</v>
      </c>
      <c r="D39" s="6" t="str">
        <f>A37&amp;B39&amp;C39</f>
        <v>B1EPR ou XLPE2</v>
      </c>
      <c r="E39" s="6">
        <v>12.0</v>
      </c>
      <c r="F39" s="6">
        <v>15.0</v>
      </c>
      <c r="G39" s="6">
        <v>18.0</v>
      </c>
      <c r="H39" s="6">
        <v>23.0</v>
      </c>
      <c r="I39" s="6">
        <v>31.0</v>
      </c>
      <c r="J39" s="6">
        <v>42.0</v>
      </c>
      <c r="K39" s="6">
        <v>54.0</v>
      </c>
      <c r="L39" s="6">
        <v>75.0</v>
      </c>
      <c r="M39" s="6">
        <v>100.0</v>
      </c>
      <c r="N39" s="6">
        <v>133.0</v>
      </c>
      <c r="O39" s="6">
        <v>164.0</v>
      </c>
      <c r="P39" s="6">
        <v>198.0</v>
      </c>
      <c r="Q39" s="6">
        <v>253.0</v>
      </c>
      <c r="R39" s="6">
        <v>306.0</v>
      </c>
      <c r="S39" s="6">
        <v>354.0</v>
      </c>
      <c r="T39" s="6">
        <v>407.0</v>
      </c>
      <c r="U39" s="6">
        <v>464.0</v>
      </c>
      <c r="V39" s="6">
        <v>546.0</v>
      </c>
      <c r="W39" s="4"/>
      <c r="X39" s="4"/>
      <c r="Y39" s="4"/>
      <c r="Z39" s="4"/>
    </row>
    <row r="40" ht="15.75" customHeight="1">
      <c r="A40" s="40"/>
      <c r="B40" s="40"/>
      <c r="C40" s="5">
        <v>3.0</v>
      </c>
      <c r="D40" s="6" t="str">
        <f>A37&amp;B39&amp;C40</f>
        <v>B1EPR ou XLPE3</v>
      </c>
      <c r="E40" s="6">
        <v>10.0</v>
      </c>
      <c r="F40" s="6">
        <v>13.0</v>
      </c>
      <c r="G40" s="6">
        <v>16.0</v>
      </c>
      <c r="H40" s="6">
        <v>20.0</v>
      </c>
      <c r="I40" s="6">
        <v>28.0</v>
      </c>
      <c r="J40" s="6">
        <v>37.0</v>
      </c>
      <c r="K40" s="6">
        <v>48.0</v>
      </c>
      <c r="L40" s="6">
        <v>66.0</v>
      </c>
      <c r="M40" s="6">
        <v>88.0</v>
      </c>
      <c r="N40" s="6">
        <v>117.0</v>
      </c>
      <c r="O40" s="6">
        <v>144.0</v>
      </c>
      <c r="P40" s="6">
        <v>175.0</v>
      </c>
      <c r="Q40" s="6">
        <v>222.0</v>
      </c>
      <c r="R40" s="6">
        <v>269.0</v>
      </c>
      <c r="S40" s="6">
        <v>312.0</v>
      </c>
      <c r="T40" s="6">
        <v>358.0</v>
      </c>
      <c r="U40" s="6">
        <v>408.0</v>
      </c>
      <c r="V40" s="6">
        <v>481.0</v>
      </c>
      <c r="W40" s="4"/>
      <c r="X40" s="4"/>
      <c r="Y40" s="4"/>
      <c r="Z40" s="4"/>
    </row>
    <row r="41" ht="15.75" customHeight="1">
      <c r="A41" s="82" t="s">
        <v>26</v>
      </c>
      <c r="B41" s="36" t="s">
        <v>33</v>
      </c>
      <c r="C41" s="5">
        <v>2.0</v>
      </c>
      <c r="D41" s="6" t="str">
        <f>A41&amp;B41&amp;C41</f>
        <v>FJustaposto2</v>
      </c>
      <c r="E41" s="6">
        <v>11.0</v>
      </c>
      <c r="F41" s="6">
        <v>14.0</v>
      </c>
      <c r="G41" s="6">
        <v>17.0</v>
      </c>
      <c r="H41" s="6">
        <v>22.0</v>
      </c>
      <c r="I41" s="6">
        <v>31.0</v>
      </c>
      <c r="J41" s="6">
        <v>41.0</v>
      </c>
      <c r="K41" s="6">
        <v>53.0</v>
      </c>
      <c r="L41" s="6">
        <v>73.0</v>
      </c>
      <c r="M41" s="6">
        <v>99.0</v>
      </c>
      <c r="N41" s="6">
        <v>131.0</v>
      </c>
      <c r="O41" s="6">
        <v>162.0</v>
      </c>
      <c r="P41" s="6">
        <v>196.0</v>
      </c>
      <c r="Q41" s="6">
        <v>251.0</v>
      </c>
      <c r="R41" s="6">
        <v>304.0</v>
      </c>
      <c r="S41" s="6">
        <v>352.0</v>
      </c>
      <c r="T41" s="6">
        <v>406.0</v>
      </c>
      <c r="U41" s="6">
        <v>463.0</v>
      </c>
      <c r="V41" s="6">
        <v>546.0</v>
      </c>
      <c r="W41" s="4"/>
      <c r="X41" s="4"/>
      <c r="Y41" s="4"/>
      <c r="Z41" s="4"/>
    </row>
    <row r="42" ht="15.75" customHeight="1">
      <c r="A42" s="40"/>
      <c r="B42" s="36" t="s">
        <v>35</v>
      </c>
      <c r="C42" s="5">
        <v>3.0</v>
      </c>
      <c r="D42" s="6" t="str">
        <f>A41&amp;B42&amp;C42</f>
        <v>FTrifólio3</v>
      </c>
      <c r="E42" s="6">
        <v>8.0</v>
      </c>
      <c r="F42" s="6">
        <v>11.0</v>
      </c>
      <c r="G42" s="6">
        <v>13.0</v>
      </c>
      <c r="H42" s="6">
        <v>17.0</v>
      </c>
      <c r="I42" s="6">
        <v>24.0</v>
      </c>
      <c r="J42" s="6">
        <v>33.0</v>
      </c>
      <c r="K42" s="6">
        <v>43.0</v>
      </c>
      <c r="L42" s="6">
        <v>60.0</v>
      </c>
      <c r="M42" s="6">
        <v>82.0</v>
      </c>
      <c r="N42" s="6">
        <v>110.0</v>
      </c>
      <c r="O42" s="6">
        <v>137.0</v>
      </c>
      <c r="P42" s="6">
        <v>167.0</v>
      </c>
      <c r="Q42" s="6">
        <v>216.0</v>
      </c>
      <c r="R42" s="6">
        <v>264.0</v>
      </c>
      <c r="S42" s="6">
        <v>308.0</v>
      </c>
      <c r="T42" s="6">
        <v>356.0</v>
      </c>
      <c r="U42" s="6">
        <v>409.0</v>
      </c>
      <c r="V42" s="6">
        <v>485.0</v>
      </c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M1"/>
    <mergeCell ref="A9:C9"/>
    <mergeCell ref="A13:A15"/>
    <mergeCell ref="A36:C36"/>
    <mergeCell ref="A37:A40"/>
    <mergeCell ref="B37:B38"/>
    <mergeCell ref="B39:B40"/>
    <mergeCell ref="A41:A42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1.22" defaultRowHeight="15.0"/>
  <cols>
    <col customWidth="1" min="1" max="1" width="10.0"/>
    <col customWidth="1" min="3" max="3" width="13.44"/>
    <col customWidth="1" min="5" max="5" width="11.78"/>
    <col customWidth="1" min="6" max="6" width="16.22"/>
    <col customWidth="1" min="7" max="8" width="15.67"/>
    <col customWidth="1" min="13" max="13" width="28.0"/>
    <col customWidth="1" min="14" max="14" width="13.44"/>
  </cols>
  <sheetData>
    <row r="1" ht="15.75" customHeight="1">
      <c r="A1" s="21" t="s">
        <v>15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4"/>
      <c r="M1" s="4" t="s">
        <v>17</v>
      </c>
      <c r="N1" s="4" t="s">
        <v>18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9" t="s">
        <v>22</v>
      </c>
      <c r="B2" s="29" t="s">
        <v>24</v>
      </c>
      <c r="C2" s="29" t="s">
        <v>25</v>
      </c>
      <c r="D2" s="29" t="s">
        <v>16</v>
      </c>
      <c r="E2" s="29" t="s">
        <v>27</v>
      </c>
      <c r="F2" s="29" t="s">
        <v>28</v>
      </c>
      <c r="G2" s="29" t="s">
        <v>29</v>
      </c>
      <c r="H2" s="29" t="s">
        <v>30</v>
      </c>
      <c r="I2" s="29" t="s">
        <v>31</v>
      </c>
      <c r="J2" s="35" t="s">
        <v>32</v>
      </c>
      <c r="K2" s="29" t="s">
        <v>34</v>
      </c>
      <c r="L2" s="4"/>
      <c r="M2" s="4" t="s">
        <v>36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39" t="s">
        <v>38</v>
      </c>
      <c r="B3" s="41" t="s">
        <v>39</v>
      </c>
      <c r="C3" s="41" t="s">
        <v>40</v>
      </c>
      <c r="D3" s="41">
        <v>220.0</v>
      </c>
      <c r="E3" s="42">
        <v>33.0</v>
      </c>
      <c r="F3" s="42" t="s">
        <v>21</v>
      </c>
      <c r="G3" s="44">
        <v>5.0</v>
      </c>
      <c r="H3" s="45">
        <v>270.0</v>
      </c>
      <c r="I3" s="41">
        <f t="shared" ref="I3:I24" si="1">H3*G3</f>
        <v>1350</v>
      </c>
      <c r="J3" s="49">
        <f t="shared" ref="J3:J24" si="2">I3/D3</f>
        <v>6.136363636</v>
      </c>
      <c r="K3" s="51">
        <v>0.95</v>
      </c>
      <c r="L3" s="4"/>
      <c r="M3" s="4">
        <f t="shared" ref="M3:M13" si="3">I3</f>
        <v>1350</v>
      </c>
      <c r="N3" s="4">
        <f t="shared" ref="N3:N6" si="4">M3/(SQRT(3)*380)</f>
        <v>2.051112798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39" t="s">
        <v>47</v>
      </c>
      <c r="B4" s="41" t="s">
        <v>48</v>
      </c>
      <c r="C4" s="41" t="s">
        <v>50</v>
      </c>
      <c r="D4" s="41">
        <v>220.0</v>
      </c>
      <c r="E4" s="41">
        <v>13.0</v>
      </c>
      <c r="F4" s="41" t="s">
        <v>26</v>
      </c>
      <c r="G4" s="54">
        <v>4.0</v>
      </c>
      <c r="H4" s="45">
        <v>290.0</v>
      </c>
      <c r="I4" s="41">
        <f t="shared" si="1"/>
        <v>1160</v>
      </c>
      <c r="J4" s="49">
        <f t="shared" si="2"/>
        <v>5.272727273</v>
      </c>
      <c r="K4" s="58">
        <v>0.95</v>
      </c>
      <c r="L4" s="4"/>
      <c r="M4" s="4">
        <f t="shared" si="3"/>
        <v>1160</v>
      </c>
      <c r="N4" s="4">
        <f t="shared" si="4"/>
        <v>1.762437664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39" t="s">
        <v>59</v>
      </c>
      <c r="B5" s="41" t="s">
        <v>60</v>
      </c>
      <c r="C5" s="41" t="s">
        <v>61</v>
      </c>
      <c r="D5" s="41">
        <v>220.0</v>
      </c>
      <c r="E5" s="41">
        <v>13.0</v>
      </c>
      <c r="F5" s="41" t="s">
        <v>26</v>
      </c>
      <c r="G5" s="54">
        <v>6.0</v>
      </c>
      <c r="H5" s="45">
        <v>290.0</v>
      </c>
      <c r="I5" s="41">
        <f t="shared" si="1"/>
        <v>1740</v>
      </c>
      <c r="J5" s="49">
        <f t="shared" si="2"/>
        <v>7.909090909</v>
      </c>
      <c r="K5" s="58">
        <v>0.95</v>
      </c>
      <c r="L5" s="4"/>
      <c r="M5" s="4">
        <f t="shared" si="3"/>
        <v>1740</v>
      </c>
      <c r="N5" s="4">
        <f t="shared" si="4"/>
        <v>2.643656496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9" t="s">
        <v>63</v>
      </c>
      <c r="B6" s="41" t="s">
        <v>64</v>
      </c>
      <c r="C6" s="58" t="s">
        <v>65</v>
      </c>
      <c r="D6" s="41">
        <v>220.0</v>
      </c>
      <c r="E6" s="58">
        <v>13.0</v>
      </c>
      <c r="F6" s="58" t="s">
        <v>26</v>
      </c>
      <c r="G6" s="54">
        <v>6.0</v>
      </c>
      <c r="H6" s="65">
        <v>290.0</v>
      </c>
      <c r="I6" s="41">
        <f t="shared" si="1"/>
        <v>1740</v>
      </c>
      <c r="J6" s="49">
        <f t="shared" si="2"/>
        <v>7.909090909</v>
      </c>
      <c r="K6" s="58">
        <v>0.95</v>
      </c>
      <c r="L6" s="4"/>
      <c r="M6" s="4">
        <f t="shared" si="3"/>
        <v>1740</v>
      </c>
      <c r="N6" s="4">
        <f t="shared" si="4"/>
        <v>2.643656496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67" t="s">
        <v>66</v>
      </c>
      <c r="B7" s="41" t="s">
        <v>67</v>
      </c>
      <c r="C7" s="68" t="s">
        <v>68</v>
      </c>
      <c r="D7" s="41">
        <v>220.0</v>
      </c>
      <c r="E7" s="58">
        <v>13.0</v>
      </c>
      <c r="F7" s="58" t="s">
        <v>26</v>
      </c>
      <c r="G7" s="69">
        <v>10.0</v>
      </c>
      <c r="H7" s="65">
        <v>440.0</v>
      </c>
      <c r="I7" s="41">
        <f t="shared" si="1"/>
        <v>4400</v>
      </c>
      <c r="J7" s="49">
        <f t="shared" si="2"/>
        <v>20</v>
      </c>
      <c r="K7" s="58">
        <v>0.95</v>
      </c>
      <c r="L7" s="4"/>
      <c r="M7" s="4">
        <f t="shared" si="3"/>
        <v>4400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34"/>
      <c r="B8" s="41" t="s">
        <v>70</v>
      </c>
      <c r="C8" s="68" t="s">
        <v>68</v>
      </c>
      <c r="D8" s="41">
        <v>220.0</v>
      </c>
      <c r="E8" s="58">
        <v>13.0</v>
      </c>
      <c r="F8" s="58" t="s">
        <v>26</v>
      </c>
      <c r="G8" s="69">
        <v>10.0</v>
      </c>
      <c r="H8" s="65">
        <v>440.0</v>
      </c>
      <c r="I8" s="41">
        <f t="shared" si="1"/>
        <v>4400</v>
      </c>
      <c r="J8" s="49">
        <f t="shared" si="2"/>
        <v>20</v>
      </c>
      <c r="K8" s="58">
        <v>0.95</v>
      </c>
      <c r="L8" s="4"/>
      <c r="M8" s="4">
        <f t="shared" si="3"/>
        <v>4400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34"/>
      <c r="B9" s="41" t="s">
        <v>71</v>
      </c>
      <c r="C9" s="68" t="s">
        <v>68</v>
      </c>
      <c r="D9" s="41">
        <v>220.0</v>
      </c>
      <c r="E9" s="58">
        <v>13.0</v>
      </c>
      <c r="F9" s="58" t="s">
        <v>26</v>
      </c>
      <c r="G9" s="69">
        <v>10.0</v>
      </c>
      <c r="H9" s="65">
        <v>440.0</v>
      </c>
      <c r="I9" s="41">
        <f t="shared" si="1"/>
        <v>4400</v>
      </c>
      <c r="J9" s="49">
        <f t="shared" si="2"/>
        <v>20</v>
      </c>
      <c r="K9" s="58">
        <v>0.95</v>
      </c>
      <c r="L9" s="4"/>
      <c r="M9" s="4">
        <f t="shared" si="3"/>
        <v>4400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34"/>
      <c r="B10" s="41" t="s">
        <v>72</v>
      </c>
      <c r="C10" s="68" t="s">
        <v>68</v>
      </c>
      <c r="D10" s="41">
        <v>220.0</v>
      </c>
      <c r="E10" s="58">
        <v>13.0</v>
      </c>
      <c r="F10" s="58" t="s">
        <v>26</v>
      </c>
      <c r="G10" s="69">
        <v>10.0</v>
      </c>
      <c r="H10" s="65">
        <v>440.0</v>
      </c>
      <c r="I10" s="41">
        <f t="shared" si="1"/>
        <v>4400</v>
      </c>
      <c r="J10" s="49">
        <f t="shared" si="2"/>
        <v>20</v>
      </c>
      <c r="K10" s="58">
        <v>0.95</v>
      </c>
      <c r="L10" s="4"/>
      <c r="M10" s="4">
        <f t="shared" si="3"/>
        <v>4400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34"/>
      <c r="B11" s="41" t="s">
        <v>73</v>
      </c>
      <c r="C11" s="68" t="s">
        <v>68</v>
      </c>
      <c r="D11" s="41">
        <v>220.0</v>
      </c>
      <c r="E11" s="58">
        <v>13.0</v>
      </c>
      <c r="F11" s="58" t="s">
        <v>26</v>
      </c>
      <c r="G11" s="69">
        <v>10.0</v>
      </c>
      <c r="H11" s="65">
        <v>440.0</v>
      </c>
      <c r="I11" s="41">
        <f t="shared" si="1"/>
        <v>4400</v>
      </c>
      <c r="J11" s="49">
        <f t="shared" si="2"/>
        <v>20</v>
      </c>
      <c r="K11" s="58">
        <v>0.95</v>
      </c>
      <c r="L11" s="4"/>
      <c r="M11" s="4">
        <f t="shared" si="3"/>
        <v>4400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34"/>
      <c r="B12" s="41" t="s">
        <v>74</v>
      </c>
      <c r="C12" s="68" t="s">
        <v>68</v>
      </c>
      <c r="D12" s="41">
        <v>220.0</v>
      </c>
      <c r="E12" s="58">
        <v>13.0</v>
      </c>
      <c r="F12" s="58" t="s">
        <v>26</v>
      </c>
      <c r="G12" s="69">
        <v>10.0</v>
      </c>
      <c r="H12" s="65">
        <v>440.0</v>
      </c>
      <c r="I12" s="41">
        <f t="shared" si="1"/>
        <v>4400</v>
      </c>
      <c r="J12" s="49">
        <f t="shared" si="2"/>
        <v>20</v>
      </c>
      <c r="K12" s="58">
        <v>0.95</v>
      </c>
      <c r="L12" s="4"/>
      <c r="M12" s="4">
        <f t="shared" si="3"/>
        <v>4400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34"/>
      <c r="B13" s="41" t="s">
        <v>75</v>
      </c>
      <c r="C13" s="68" t="s">
        <v>68</v>
      </c>
      <c r="D13" s="41">
        <v>220.0</v>
      </c>
      <c r="E13" s="58">
        <v>13.0</v>
      </c>
      <c r="F13" s="58" t="s">
        <v>26</v>
      </c>
      <c r="G13" s="69">
        <v>10.0</v>
      </c>
      <c r="H13" s="65">
        <v>440.0</v>
      </c>
      <c r="I13" s="41">
        <f t="shared" si="1"/>
        <v>4400</v>
      </c>
      <c r="J13" s="49">
        <f t="shared" si="2"/>
        <v>20</v>
      </c>
      <c r="K13" s="58">
        <v>0.95</v>
      </c>
      <c r="L13" s="4"/>
      <c r="M13" s="4">
        <f t="shared" si="3"/>
        <v>4400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34"/>
      <c r="B14" s="41" t="s">
        <v>77</v>
      </c>
      <c r="C14" s="68" t="s">
        <v>68</v>
      </c>
      <c r="D14" s="41">
        <v>220.0</v>
      </c>
      <c r="E14" s="58">
        <v>13.0</v>
      </c>
      <c r="F14" s="58" t="s">
        <v>26</v>
      </c>
      <c r="G14" s="69">
        <v>10.0</v>
      </c>
      <c r="H14" s="65">
        <v>440.0</v>
      </c>
      <c r="I14" s="41">
        <f t="shared" si="1"/>
        <v>4400</v>
      </c>
      <c r="J14" s="49">
        <f t="shared" si="2"/>
        <v>20</v>
      </c>
      <c r="K14" s="58">
        <v>0.95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34"/>
      <c r="B15" s="41" t="s">
        <v>79</v>
      </c>
      <c r="C15" s="68" t="s">
        <v>68</v>
      </c>
      <c r="D15" s="41">
        <v>220.0</v>
      </c>
      <c r="E15" s="58">
        <v>13.0</v>
      </c>
      <c r="F15" s="58" t="s">
        <v>26</v>
      </c>
      <c r="G15" s="69">
        <v>10.0</v>
      </c>
      <c r="H15" s="65">
        <v>440.0</v>
      </c>
      <c r="I15" s="41">
        <f t="shared" si="1"/>
        <v>4400</v>
      </c>
      <c r="J15" s="49">
        <f t="shared" si="2"/>
        <v>20</v>
      </c>
      <c r="K15" s="58">
        <v>0.95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34"/>
      <c r="B16" s="41" t="s">
        <v>80</v>
      </c>
      <c r="C16" s="68" t="s">
        <v>68</v>
      </c>
      <c r="D16" s="41">
        <v>220.0</v>
      </c>
      <c r="E16" s="58">
        <v>13.0</v>
      </c>
      <c r="F16" s="58" t="s">
        <v>26</v>
      </c>
      <c r="G16" s="69">
        <v>10.0</v>
      </c>
      <c r="H16" s="65">
        <v>440.0</v>
      </c>
      <c r="I16" s="41">
        <f t="shared" si="1"/>
        <v>4400</v>
      </c>
      <c r="J16" s="49">
        <f t="shared" si="2"/>
        <v>20</v>
      </c>
      <c r="K16" s="58">
        <v>0.95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34"/>
      <c r="B17" s="41" t="s">
        <v>82</v>
      </c>
      <c r="C17" s="68" t="s">
        <v>68</v>
      </c>
      <c r="D17" s="41">
        <v>220.0</v>
      </c>
      <c r="E17" s="58">
        <v>13.0</v>
      </c>
      <c r="F17" s="58" t="s">
        <v>26</v>
      </c>
      <c r="G17" s="69">
        <v>10.0</v>
      </c>
      <c r="H17" s="65">
        <v>440.0</v>
      </c>
      <c r="I17" s="41">
        <f t="shared" si="1"/>
        <v>4400</v>
      </c>
      <c r="J17" s="49">
        <f t="shared" si="2"/>
        <v>20</v>
      </c>
      <c r="K17" s="58">
        <v>0.95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4"/>
      <c r="B18" s="41" t="s">
        <v>84</v>
      </c>
      <c r="C18" s="68" t="s">
        <v>68</v>
      </c>
      <c r="D18" s="41">
        <v>220.0</v>
      </c>
      <c r="E18" s="58">
        <v>13.0</v>
      </c>
      <c r="F18" s="58" t="s">
        <v>26</v>
      </c>
      <c r="G18" s="69">
        <v>6.0</v>
      </c>
      <c r="H18" s="65">
        <v>440.0</v>
      </c>
      <c r="I18" s="41">
        <f t="shared" si="1"/>
        <v>2640</v>
      </c>
      <c r="J18" s="49">
        <f t="shared" si="2"/>
        <v>12</v>
      </c>
      <c r="K18" s="58">
        <v>0.95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34"/>
      <c r="B19" s="41" t="s">
        <v>85</v>
      </c>
      <c r="C19" s="58" t="s">
        <v>86</v>
      </c>
      <c r="D19" s="41">
        <v>220.0</v>
      </c>
      <c r="E19" s="41">
        <v>13.0</v>
      </c>
      <c r="F19" s="41" t="s">
        <v>26</v>
      </c>
      <c r="G19" s="44">
        <v>8.0</v>
      </c>
      <c r="H19" s="65">
        <v>290.0</v>
      </c>
      <c r="I19" s="41">
        <f t="shared" si="1"/>
        <v>2320</v>
      </c>
      <c r="J19" s="49">
        <f t="shared" si="2"/>
        <v>10.54545455</v>
      </c>
      <c r="K19" s="58">
        <v>0.95</v>
      </c>
      <c r="L19" s="4"/>
      <c r="M19" s="4">
        <f>I19</f>
        <v>2320</v>
      </c>
      <c r="N19" s="83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0"/>
      <c r="B20" s="41" t="s">
        <v>87</v>
      </c>
      <c r="C20" s="58" t="s">
        <v>86</v>
      </c>
      <c r="D20" s="41">
        <v>220.0</v>
      </c>
      <c r="E20" s="41">
        <v>13.0</v>
      </c>
      <c r="F20" s="41" t="s">
        <v>26</v>
      </c>
      <c r="G20" s="54">
        <v>8.0</v>
      </c>
      <c r="H20" s="65">
        <v>290.0</v>
      </c>
      <c r="I20" s="41">
        <f t="shared" si="1"/>
        <v>2320</v>
      </c>
      <c r="J20" s="49">
        <f t="shared" si="2"/>
        <v>10.54545455</v>
      </c>
      <c r="K20" s="58">
        <v>0.95</v>
      </c>
      <c r="L20" s="4"/>
      <c r="M20" s="4"/>
      <c r="N20" s="83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9" t="s">
        <v>90</v>
      </c>
      <c r="B21" s="41" t="s">
        <v>91</v>
      </c>
      <c r="C21" s="41" t="s">
        <v>92</v>
      </c>
      <c r="D21" s="41">
        <v>220.0</v>
      </c>
      <c r="E21" s="41">
        <v>7.0</v>
      </c>
      <c r="F21" s="41" t="s">
        <v>21</v>
      </c>
      <c r="G21" s="54">
        <v>4.0</v>
      </c>
      <c r="H21" s="65">
        <v>90.0</v>
      </c>
      <c r="I21" s="41">
        <f t="shared" si="1"/>
        <v>360</v>
      </c>
      <c r="J21" s="49">
        <f t="shared" si="2"/>
        <v>1.636363636</v>
      </c>
      <c r="K21" s="58">
        <v>0.98</v>
      </c>
      <c r="L21" s="4"/>
      <c r="M21" s="4">
        <f t="shared" ref="M21:M24" si="5">I21</f>
        <v>360</v>
      </c>
      <c r="N21" s="4">
        <f>M21/(SQRT(3)*380)</f>
        <v>0.5469634129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67" t="s">
        <v>94</v>
      </c>
      <c r="B22" s="41" t="s">
        <v>95</v>
      </c>
      <c r="C22" s="58" t="s">
        <v>96</v>
      </c>
      <c r="D22" s="41">
        <v>220.0</v>
      </c>
      <c r="E22" s="41">
        <v>7.0</v>
      </c>
      <c r="F22" s="41" t="s">
        <v>21</v>
      </c>
      <c r="G22" s="54">
        <v>6.0</v>
      </c>
      <c r="H22" s="65">
        <v>90.0</v>
      </c>
      <c r="I22" s="41">
        <f t="shared" si="1"/>
        <v>540</v>
      </c>
      <c r="J22" s="49">
        <f t="shared" si="2"/>
        <v>2.454545455</v>
      </c>
      <c r="K22" s="58">
        <v>0.98</v>
      </c>
      <c r="L22" s="4"/>
      <c r="M22" s="4">
        <f t="shared" si="5"/>
        <v>540</v>
      </c>
      <c r="N22" s="4"/>
      <c r="O22" s="4">
        <f>M22+M23</f>
        <v>1980</v>
      </c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0"/>
      <c r="B23" s="41" t="s">
        <v>98</v>
      </c>
      <c r="C23" s="58" t="s">
        <v>99</v>
      </c>
      <c r="D23" s="41">
        <v>220.0</v>
      </c>
      <c r="E23" s="41">
        <v>7.0</v>
      </c>
      <c r="F23" s="41" t="s">
        <v>21</v>
      </c>
      <c r="G23" s="54">
        <v>16.0</v>
      </c>
      <c r="H23" s="65">
        <v>90.0</v>
      </c>
      <c r="I23" s="41">
        <f t="shared" si="1"/>
        <v>1440</v>
      </c>
      <c r="J23" s="49">
        <f t="shared" si="2"/>
        <v>6.545454545</v>
      </c>
      <c r="K23" s="58">
        <v>0.98</v>
      </c>
      <c r="L23" s="4"/>
      <c r="M23" s="4">
        <f t="shared" si="5"/>
        <v>1440</v>
      </c>
      <c r="N23" s="83">
        <f>O22/(SQRT(3)*380)</f>
        <v>3.008298771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9" t="s">
        <v>100</v>
      </c>
      <c r="B24" s="41" t="s">
        <v>101</v>
      </c>
      <c r="C24" s="41" t="s">
        <v>102</v>
      </c>
      <c r="D24" s="41">
        <v>220.0</v>
      </c>
      <c r="E24" s="41">
        <v>7.0</v>
      </c>
      <c r="F24" s="41" t="s">
        <v>21</v>
      </c>
      <c r="G24" s="54">
        <v>2.0</v>
      </c>
      <c r="H24" s="65">
        <v>90.0</v>
      </c>
      <c r="I24" s="41">
        <f t="shared" si="1"/>
        <v>180</v>
      </c>
      <c r="J24" s="49">
        <f t="shared" si="2"/>
        <v>0.8181818182</v>
      </c>
      <c r="K24" s="58">
        <v>0.98</v>
      </c>
      <c r="L24" s="4"/>
      <c r="M24" s="4">
        <f t="shared" si="5"/>
        <v>180</v>
      </c>
      <c r="N24" s="4">
        <f>M24/(SQRT(3)*380)</f>
        <v>0.2734817065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94"/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96" t="s">
        <v>106</v>
      </c>
      <c r="B26" s="2"/>
      <c r="C26" s="2"/>
      <c r="D26" s="2"/>
      <c r="E26" s="2"/>
      <c r="F26" s="2"/>
      <c r="G26" s="2"/>
      <c r="H26" s="2"/>
      <c r="I26" s="2"/>
      <c r="J26" s="2"/>
      <c r="K26" s="3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97" t="s">
        <v>22</v>
      </c>
      <c r="B27" s="97" t="s">
        <v>24</v>
      </c>
      <c r="C27" s="97" t="s">
        <v>107</v>
      </c>
      <c r="D27" s="97" t="s">
        <v>108</v>
      </c>
      <c r="E27" s="97" t="s">
        <v>109</v>
      </c>
      <c r="F27" s="97" t="s">
        <v>110</v>
      </c>
      <c r="G27" s="97" t="s">
        <v>111</v>
      </c>
      <c r="H27" s="35" t="s">
        <v>32</v>
      </c>
      <c r="I27" s="97" t="s">
        <v>112</v>
      </c>
      <c r="J27" s="97" t="s">
        <v>113</v>
      </c>
      <c r="K27" s="97" t="s">
        <v>114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100" t="s">
        <v>38</v>
      </c>
      <c r="B28" s="41" t="s">
        <v>39</v>
      </c>
      <c r="C28" s="42">
        <v>1.0</v>
      </c>
      <c r="D28" s="41">
        <f t="array" ref="D28">INDEX('Dados de Entrada'!$A$2:$M$7,MATCH(L28,'Dados de Entrada'!$A$2:$A$7,1),MATCH(C28,'Dados de Entrada'!$A$2:$M$2,1))</f>
        <v>1</v>
      </c>
      <c r="E28" s="41">
        <f t="array" ref="E28">INDEX('Dados de Entrada'!$A$10:$C$11,2,MATCH(G28,'Dados de Entrada'!$A$10:$C$10,0))</f>
        <v>0.87</v>
      </c>
      <c r="F28" s="41">
        <v>1.15</v>
      </c>
      <c r="G28" s="42" t="s">
        <v>11</v>
      </c>
      <c r="H28" s="49">
        <f t="shared" ref="H28:H49" si="6">J3</f>
        <v>6.136363636</v>
      </c>
      <c r="I28" s="104">
        <f t="shared" ref="I28:I44" si="7">((H28*F28)/(E28*D28))</f>
        <v>8.111285266</v>
      </c>
      <c r="J28" s="105">
        <v>23.0</v>
      </c>
      <c r="K28" s="105">
        <f t="shared" ref="K28:K49" si="8">E28*D28*J28</f>
        <v>20.01</v>
      </c>
      <c r="L28" s="4">
        <f t="shared" ref="L28:L44" si="9">IF(E3=7,1,4)</f>
        <v>4</v>
      </c>
      <c r="M28" s="107" t="str">
        <f t="shared" ref="M28:M39" si="10">F3&amp;G28&amp;2</f>
        <v>B1EPR ou XLPE2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100" t="s">
        <v>47</v>
      </c>
      <c r="B29" s="41" t="s">
        <v>48</v>
      </c>
      <c r="C29" s="41">
        <v>1.0</v>
      </c>
      <c r="D29" s="41">
        <f t="array" ref="D29">INDEX('Dados de Entrada'!$A$2:$M$7,MATCH(L29,'Dados de Entrada'!$A$2:$A$7,1),MATCH(C29,'Dados de Entrada'!$A$2:$M$2,1))</f>
        <v>1</v>
      </c>
      <c r="E29" s="41">
        <f t="array" ref="E29">INDEX('Dados de Entrada'!$A$10:$C$11,2,MATCH(G29,'Dados de Entrada'!$A$10:$C$10,0))</f>
        <v>0.87</v>
      </c>
      <c r="F29" s="41">
        <v>1.15</v>
      </c>
      <c r="G29" s="41" t="s">
        <v>11</v>
      </c>
      <c r="H29" s="49">
        <f t="shared" si="6"/>
        <v>5.272727273</v>
      </c>
      <c r="I29" s="104">
        <f t="shared" si="7"/>
        <v>6.96969697</v>
      </c>
      <c r="J29" s="105">
        <v>23.0</v>
      </c>
      <c r="K29" s="105">
        <f t="shared" si="8"/>
        <v>20.01</v>
      </c>
      <c r="L29" s="4">
        <f t="shared" si="9"/>
        <v>4</v>
      </c>
      <c r="M29" s="107" t="str">
        <f t="shared" si="10"/>
        <v>FEPR ou XLPE2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100" t="s">
        <v>59</v>
      </c>
      <c r="B30" s="41" t="s">
        <v>60</v>
      </c>
      <c r="C30" s="41">
        <v>1.0</v>
      </c>
      <c r="D30" s="41">
        <f t="array" ref="D30">INDEX('Dados de Entrada'!$A$2:$M$7,MATCH(L30,'Dados de Entrada'!$A$2:$A$7,1),MATCH(C30,'Dados de Entrada'!$A$2:$M$2,1))</f>
        <v>1</v>
      </c>
      <c r="E30" s="41">
        <f t="array" ref="E30">INDEX('Dados de Entrada'!$A$10:$C$11,2,MATCH(G30,'Dados de Entrada'!$A$10:$C$10,0))</f>
        <v>0.87</v>
      </c>
      <c r="F30" s="41">
        <v>1.15</v>
      </c>
      <c r="G30" s="41" t="s">
        <v>11</v>
      </c>
      <c r="H30" s="49">
        <f t="shared" si="6"/>
        <v>7.909090909</v>
      </c>
      <c r="I30" s="104">
        <f t="shared" si="7"/>
        <v>10.45454545</v>
      </c>
      <c r="J30" s="105">
        <v>23.0</v>
      </c>
      <c r="K30" s="105">
        <f t="shared" si="8"/>
        <v>20.01</v>
      </c>
      <c r="L30" s="4">
        <f t="shared" si="9"/>
        <v>4</v>
      </c>
      <c r="M30" s="107" t="str">
        <f t="shared" si="10"/>
        <v>FEPR ou XLPE2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100" t="s">
        <v>63</v>
      </c>
      <c r="B31" s="41" t="s">
        <v>64</v>
      </c>
      <c r="C31" s="41">
        <v>1.0</v>
      </c>
      <c r="D31" s="41">
        <f t="array" ref="D31">INDEX('Dados de Entrada'!$A$2:$M$7,MATCH(L31,'Dados de Entrada'!$A$2:$A$7,1),MATCH(C31,'Dados de Entrada'!$A$2:$M$2,1))</f>
        <v>1</v>
      </c>
      <c r="E31" s="41">
        <f t="array" ref="E31">INDEX('Dados de Entrada'!$A$10:$C$11,2,MATCH(G31,'Dados de Entrada'!$A$10:$C$10,0))</f>
        <v>0.87</v>
      </c>
      <c r="F31" s="41">
        <v>1.15</v>
      </c>
      <c r="G31" s="42" t="s">
        <v>11</v>
      </c>
      <c r="H31" s="49">
        <f t="shared" si="6"/>
        <v>7.909090909</v>
      </c>
      <c r="I31" s="104">
        <f t="shared" si="7"/>
        <v>10.45454545</v>
      </c>
      <c r="J31" s="105">
        <v>23.0</v>
      </c>
      <c r="K31" s="105">
        <f t="shared" si="8"/>
        <v>20.01</v>
      </c>
      <c r="L31" s="4">
        <f t="shared" si="9"/>
        <v>4</v>
      </c>
      <c r="M31" s="107" t="str">
        <f t="shared" si="10"/>
        <v>FEPR ou XLPE2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12" t="s">
        <v>66</v>
      </c>
      <c r="B32" s="41" t="s">
        <v>67</v>
      </c>
      <c r="C32" s="42">
        <v>2.0</v>
      </c>
      <c r="D32" s="41">
        <f t="array" ref="D32">INDEX('Dados de Entrada'!$A$2:$M$7,MATCH(L32,'Dados de Entrada'!$A$2:$A$7,1),MATCH(C32,'Dados de Entrada'!$A$2:$M$2,1))</f>
        <v>0.88</v>
      </c>
      <c r="E32" s="41">
        <f t="array" ref="E32">INDEX('Dados de Entrada'!$A$10:$C$11,2,MATCH(G32,'Dados de Entrada'!$A$10:$C$10,0))</f>
        <v>0.87</v>
      </c>
      <c r="F32" s="41">
        <v>1.15</v>
      </c>
      <c r="G32" s="42" t="s">
        <v>11</v>
      </c>
      <c r="H32" s="49">
        <f t="shared" si="6"/>
        <v>20</v>
      </c>
      <c r="I32" s="104">
        <f t="shared" si="7"/>
        <v>30.04179728</v>
      </c>
      <c r="J32" s="105">
        <v>41.0</v>
      </c>
      <c r="K32" s="105">
        <f t="shared" si="8"/>
        <v>31.3896</v>
      </c>
      <c r="L32" s="4">
        <f t="shared" si="9"/>
        <v>4</v>
      </c>
      <c r="M32" s="107" t="str">
        <f t="shared" si="10"/>
        <v>FEPR ou XLPE2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34"/>
      <c r="B33" s="41" t="s">
        <v>70</v>
      </c>
      <c r="C33" s="42">
        <v>2.0</v>
      </c>
      <c r="D33" s="41">
        <f t="array" ref="D33">INDEX('Dados de Entrada'!$A$2:$M$7,MATCH(L33,'Dados de Entrada'!$A$2:$A$7,1),MATCH(C33,'Dados de Entrada'!$A$2:$M$2,1))</f>
        <v>0.88</v>
      </c>
      <c r="E33" s="41">
        <f t="array" ref="E33">INDEX('Dados de Entrada'!$A$10:$C$11,2,MATCH(G33,'Dados de Entrada'!$A$10:$C$10,0))</f>
        <v>0.87</v>
      </c>
      <c r="F33" s="41">
        <v>1.15</v>
      </c>
      <c r="G33" s="41" t="s">
        <v>11</v>
      </c>
      <c r="H33" s="49">
        <f t="shared" si="6"/>
        <v>20</v>
      </c>
      <c r="I33" s="104">
        <f t="shared" si="7"/>
        <v>30.04179728</v>
      </c>
      <c r="J33" s="105">
        <v>41.0</v>
      </c>
      <c r="K33" s="105">
        <f t="shared" si="8"/>
        <v>31.3896</v>
      </c>
      <c r="L33" s="4">
        <f t="shared" si="9"/>
        <v>4</v>
      </c>
      <c r="M33" s="107" t="str">
        <f t="shared" si="10"/>
        <v>FEPR ou XLPE2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34"/>
      <c r="B34" s="41" t="s">
        <v>71</v>
      </c>
      <c r="C34" s="42">
        <v>2.0</v>
      </c>
      <c r="D34" s="41">
        <f t="array" ref="D34">INDEX('Dados de Entrada'!$A$2:$M$7,MATCH(L34,'Dados de Entrada'!$A$2:$A$7,1),MATCH(C34,'Dados de Entrada'!$A$2:$M$2,1))</f>
        <v>0.88</v>
      </c>
      <c r="E34" s="41">
        <f t="array" ref="E34">INDEX('Dados de Entrada'!$A$10:$C$11,2,MATCH(G34,'Dados de Entrada'!$A$10:$C$10,0))</f>
        <v>0.87</v>
      </c>
      <c r="F34" s="41">
        <v>1.15</v>
      </c>
      <c r="G34" s="42" t="s">
        <v>11</v>
      </c>
      <c r="H34" s="49">
        <f t="shared" si="6"/>
        <v>20</v>
      </c>
      <c r="I34" s="104">
        <f t="shared" si="7"/>
        <v>30.04179728</v>
      </c>
      <c r="J34" s="105">
        <v>41.0</v>
      </c>
      <c r="K34" s="105">
        <f t="shared" si="8"/>
        <v>31.3896</v>
      </c>
      <c r="L34" s="4">
        <f t="shared" si="9"/>
        <v>4</v>
      </c>
      <c r="M34" s="107" t="str">
        <f t="shared" si="10"/>
        <v>FEPR ou XLPE2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34"/>
      <c r="B35" s="41" t="s">
        <v>72</v>
      </c>
      <c r="C35" s="42">
        <v>2.0</v>
      </c>
      <c r="D35" s="41">
        <f t="array" ref="D35">INDEX('Dados de Entrada'!$A$2:$M$7,MATCH(L35,'Dados de Entrada'!$A$2:$A$7,1),MATCH(C35,'Dados de Entrada'!$A$2:$M$2,1))</f>
        <v>0.88</v>
      </c>
      <c r="E35" s="41">
        <f t="array" ref="E35">INDEX('Dados de Entrada'!$A$10:$C$11,2,MATCH(G35,'Dados de Entrada'!$A$10:$C$10,0))</f>
        <v>0.87</v>
      </c>
      <c r="F35" s="41">
        <v>1.15</v>
      </c>
      <c r="G35" s="41" t="s">
        <v>11</v>
      </c>
      <c r="H35" s="49">
        <f t="shared" si="6"/>
        <v>20</v>
      </c>
      <c r="I35" s="104">
        <f t="shared" si="7"/>
        <v>30.04179728</v>
      </c>
      <c r="J35" s="105">
        <v>41.0</v>
      </c>
      <c r="K35" s="105">
        <f t="shared" si="8"/>
        <v>31.3896</v>
      </c>
      <c r="L35" s="4">
        <f t="shared" si="9"/>
        <v>4</v>
      </c>
      <c r="M35" s="107" t="str">
        <f t="shared" si="10"/>
        <v>FEPR ou XLPE2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34"/>
      <c r="B36" s="41" t="s">
        <v>73</v>
      </c>
      <c r="C36" s="42">
        <v>2.0</v>
      </c>
      <c r="D36" s="41">
        <f t="array" ref="D36">INDEX('Dados de Entrada'!$A$2:$M$7,MATCH(L36,'Dados de Entrada'!$A$2:$A$7,1),MATCH(C36,'Dados de Entrada'!$A$2:$M$2,1))</f>
        <v>0.88</v>
      </c>
      <c r="E36" s="41">
        <f t="array" ref="E36">INDEX('Dados de Entrada'!$A$10:$C$11,2,MATCH(G36,'Dados de Entrada'!$A$10:$C$10,0))</f>
        <v>0.87</v>
      </c>
      <c r="F36" s="41">
        <v>1.15</v>
      </c>
      <c r="G36" s="41" t="s">
        <v>11</v>
      </c>
      <c r="H36" s="49">
        <f t="shared" si="6"/>
        <v>20</v>
      </c>
      <c r="I36" s="104">
        <f t="shared" si="7"/>
        <v>30.04179728</v>
      </c>
      <c r="J36" s="105">
        <v>41.0</v>
      </c>
      <c r="K36" s="105">
        <f t="shared" si="8"/>
        <v>31.3896</v>
      </c>
      <c r="L36" s="4">
        <f t="shared" si="9"/>
        <v>4</v>
      </c>
      <c r="M36" s="107" t="str">
        <f t="shared" si="10"/>
        <v>FEPR ou XLPE2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34"/>
      <c r="B37" s="41" t="s">
        <v>74</v>
      </c>
      <c r="C37" s="42">
        <v>2.0</v>
      </c>
      <c r="D37" s="41">
        <f t="array" ref="D37">INDEX('Dados de Entrada'!$A$2:$M$7,MATCH(L37,'Dados de Entrada'!$A$2:$A$7,1),MATCH(C37,'Dados de Entrada'!$A$2:$M$2,1))</f>
        <v>0.88</v>
      </c>
      <c r="E37" s="41">
        <f t="array" ref="E37">INDEX('Dados de Entrada'!$A$10:$C$11,2,MATCH(G37,'Dados de Entrada'!$A$10:$C$10,0))</f>
        <v>0.87</v>
      </c>
      <c r="F37" s="41">
        <v>1.15</v>
      </c>
      <c r="G37" s="41" t="s">
        <v>11</v>
      </c>
      <c r="H37" s="49">
        <f t="shared" si="6"/>
        <v>20</v>
      </c>
      <c r="I37" s="104">
        <f t="shared" si="7"/>
        <v>30.04179728</v>
      </c>
      <c r="J37" s="105">
        <v>41.0</v>
      </c>
      <c r="K37" s="105">
        <f t="shared" si="8"/>
        <v>31.3896</v>
      </c>
      <c r="L37" s="4">
        <f t="shared" si="9"/>
        <v>4</v>
      </c>
      <c r="M37" s="107" t="str">
        <f t="shared" si="10"/>
        <v>FEPR ou XLPE2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34"/>
      <c r="B38" s="41" t="s">
        <v>75</v>
      </c>
      <c r="C38" s="42">
        <v>2.0</v>
      </c>
      <c r="D38" s="41">
        <f t="array" ref="D38">INDEX('Dados de Entrada'!$A$2:$M$7,MATCH(L38,'Dados de Entrada'!$A$2:$A$7,1),MATCH(C38,'Dados de Entrada'!$A$2:$M$2,1))</f>
        <v>0.88</v>
      </c>
      <c r="E38" s="41">
        <f t="array" ref="E38">INDEX('Dados de Entrada'!$A$10:$C$11,2,MATCH(G38,'Dados de Entrada'!$A$10:$C$10,0))</f>
        <v>0.87</v>
      </c>
      <c r="F38" s="41">
        <v>1.15</v>
      </c>
      <c r="G38" s="41" t="s">
        <v>11</v>
      </c>
      <c r="H38" s="49">
        <f t="shared" si="6"/>
        <v>20</v>
      </c>
      <c r="I38" s="104">
        <f t="shared" si="7"/>
        <v>30.04179728</v>
      </c>
      <c r="J38" s="105">
        <v>41.0</v>
      </c>
      <c r="K38" s="105">
        <f t="shared" si="8"/>
        <v>31.3896</v>
      </c>
      <c r="L38" s="4">
        <f t="shared" si="9"/>
        <v>4</v>
      </c>
      <c r="M38" s="107" t="str">
        <f t="shared" si="10"/>
        <v>FEPR ou XLPE2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34"/>
      <c r="B39" s="41" t="s">
        <v>77</v>
      </c>
      <c r="C39" s="42">
        <v>2.0</v>
      </c>
      <c r="D39" s="41">
        <f t="array" ref="D39">INDEX('Dados de Entrada'!$A$2:$M$7,MATCH(L39,'Dados de Entrada'!$A$2:$A$7,1),MATCH(C39,'Dados de Entrada'!$A$2:$M$2,1))</f>
        <v>0.88</v>
      </c>
      <c r="E39" s="41">
        <f t="array" ref="E39">INDEX('Dados de Entrada'!$A$10:$C$11,2,MATCH(G39,'Dados de Entrada'!$A$10:$C$10,0))</f>
        <v>0.87</v>
      </c>
      <c r="F39" s="41">
        <v>1.15</v>
      </c>
      <c r="G39" s="42" t="s">
        <v>11</v>
      </c>
      <c r="H39" s="49">
        <f t="shared" si="6"/>
        <v>20</v>
      </c>
      <c r="I39" s="104">
        <f t="shared" si="7"/>
        <v>30.04179728</v>
      </c>
      <c r="J39" s="105">
        <v>41.0</v>
      </c>
      <c r="K39" s="105">
        <f t="shared" si="8"/>
        <v>31.3896</v>
      </c>
      <c r="L39" s="4">
        <f t="shared" si="9"/>
        <v>4</v>
      </c>
      <c r="M39" s="107" t="str">
        <f t="shared" si="10"/>
        <v>FEPR ou XLPE2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34"/>
      <c r="B40" s="41" t="s">
        <v>79</v>
      </c>
      <c r="C40" s="42">
        <v>2.0</v>
      </c>
      <c r="D40" s="41">
        <f t="array" ref="D40">INDEX('Dados de Entrada'!$A$2:$M$7,MATCH(L40,'Dados de Entrada'!$A$2:$A$7,1),MATCH(C40,'Dados de Entrada'!$A$2:$M$2,1))</f>
        <v>0.88</v>
      </c>
      <c r="E40" s="41">
        <f t="array" ref="E40">INDEX('Dados de Entrada'!$A$10:$C$11,2,MATCH(G40,'Dados de Entrada'!$A$10:$C$10,0))</f>
        <v>0.87</v>
      </c>
      <c r="F40" s="41">
        <v>1.15</v>
      </c>
      <c r="G40" s="42" t="s">
        <v>11</v>
      </c>
      <c r="H40" s="49">
        <f t="shared" si="6"/>
        <v>20</v>
      </c>
      <c r="I40" s="104">
        <f t="shared" si="7"/>
        <v>30.04179728</v>
      </c>
      <c r="J40" s="105">
        <v>41.0</v>
      </c>
      <c r="K40" s="105">
        <f t="shared" si="8"/>
        <v>31.3896</v>
      </c>
      <c r="L40" s="4">
        <f t="shared" si="9"/>
        <v>4</v>
      </c>
      <c r="M40" s="107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34"/>
      <c r="B41" s="41" t="s">
        <v>80</v>
      </c>
      <c r="C41" s="42">
        <v>2.0</v>
      </c>
      <c r="D41" s="41">
        <f t="array" ref="D41">INDEX('Dados de Entrada'!$A$2:$M$7,MATCH(L41,'Dados de Entrada'!$A$2:$A$7,1),MATCH(C41,'Dados de Entrada'!$A$2:$M$2,1))</f>
        <v>0.88</v>
      </c>
      <c r="E41" s="41">
        <f t="array" ref="E41">INDEX('Dados de Entrada'!$A$10:$C$11,2,MATCH(G41,'Dados de Entrada'!$A$10:$C$10,0))</f>
        <v>0.87</v>
      </c>
      <c r="F41" s="41">
        <v>1.15</v>
      </c>
      <c r="G41" s="42" t="s">
        <v>11</v>
      </c>
      <c r="H41" s="49">
        <f t="shared" si="6"/>
        <v>20</v>
      </c>
      <c r="I41" s="104">
        <f t="shared" si="7"/>
        <v>30.04179728</v>
      </c>
      <c r="J41" s="105">
        <v>41.0</v>
      </c>
      <c r="K41" s="105">
        <f t="shared" si="8"/>
        <v>31.3896</v>
      </c>
      <c r="L41" s="4">
        <f t="shared" si="9"/>
        <v>4</v>
      </c>
      <c r="M41" s="107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34"/>
      <c r="B42" s="41" t="s">
        <v>82</v>
      </c>
      <c r="C42" s="42">
        <v>2.0</v>
      </c>
      <c r="D42" s="41">
        <f t="array" ref="D42">INDEX('Dados de Entrada'!$A$2:$M$7,MATCH(L42,'Dados de Entrada'!$A$2:$A$7,1),MATCH(C42,'Dados de Entrada'!$A$2:$M$2,1))</f>
        <v>0.88</v>
      </c>
      <c r="E42" s="41">
        <f t="array" ref="E42">INDEX('Dados de Entrada'!$A$10:$C$11,2,MATCH(G42,'Dados de Entrada'!$A$10:$C$10,0))</f>
        <v>0.87</v>
      </c>
      <c r="F42" s="41">
        <v>1.15</v>
      </c>
      <c r="G42" s="42" t="s">
        <v>11</v>
      </c>
      <c r="H42" s="49">
        <f t="shared" si="6"/>
        <v>20</v>
      </c>
      <c r="I42" s="104">
        <f t="shared" si="7"/>
        <v>30.04179728</v>
      </c>
      <c r="J42" s="105">
        <v>41.0</v>
      </c>
      <c r="K42" s="105">
        <f t="shared" si="8"/>
        <v>31.3896</v>
      </c>
      <c r="L42" s="4">
        <f t="shared" si="9"/>
        <v>4</v>
      </c>
      <c r="M42" s="107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34"/>
      <c r="B43" s="41" t="s">
        <v>84</v>
      </c>
      <c r="C43" s="42">
        <v>2.0</v>
      </c>
      <c r="D43" s="41">
        <f t="array" ref="D43">INDEX('Dados de Entrada'!$A$2:$M$7,MATCH(L43,'Dados de Entrada'!$A$2:$A$7,1),MATCH(C43,'Dados de Entrada'!$A$2:$M$2,1))</f>
        <v>0.88</v>
      </c>
      <c r="E43" s="41">
        <f t="array" ref="E43">INDEX('Dados de Entrada'!$A$10:$C$11,2,MATCH(G43,'Dados de Entrada'!$A$10:$C$10,0))</f>
        <v>0.87</v>
      </c>
      <c r="F43" s="41">
        <v>1.15</v>
      </c>
      <c r="G43" s="41" t="s">
        <v>11</v>
      </c>
      <c r="H43" s="49">
        <f t="shared" si="6"/>
        <v>12</v>
      </c>
      <c r="I43" s="104">
        <f t="shared" si="7"/>
        <v>18.02507837</v>
      </c>
      <c r="J43" s="105">
        <v>41.0</v>
      </c>
      <c r="K43" s="105">
        <f t="shared" si="8"/>
        <v>31.3896</v>
      </c>
      <c r="L43" s="4">
        <f t="shared" si="9"/>
        <v>4</v>
      </c>
      <c r="M43" s="107" t="str">
        <f t="shared" ref="M43:M49" si="11">F18&amp;G43&amp;2</f>
        <v>FEPR ou XLPE2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34"/>
      <c r="B44" s="41" t="s">
        <v>85</v>
      </c>
      <c r="C44" s="42">
        <v>2.0</v>
      </c>
      <c r="D44" s="41">
        <f t="array" ref="D44">INDEX('Dados de Entrada'!$A$2:$M$7,MATCH(L44,'Dados de Entrada'!$A$2:$A$7,1),MATCH(C44,'Dados de Entrada'!$A$2:$M$2,1))</f>
        <v>0.88</v>
      </c>
      <c r="E44" s="41">
        <f t="array" ref="E44">INDEX('Dados de Entrada'!$A$10:$C$11,2,MATCH(G44,'Dados de Entrada'!$A$10:$C$10,0))</f>
        <v>0.87</v>
      </c>
      <c r="F44" s="41">
        <v>1.15</v>
      </c>
      <c r="G44" s="41" t="s">
        <v>11</v>
      </c>
      <c r="H44" s="49">
        <f t="shared" si="6"/>
        <v>10.54545455</v>
      </c>
      <c r="I44" s="104">
        <f t="shared" si="7"/>
        <v>15.84022039</v>
      </c>
      <c r="J44" s="105">
        <v>31.0</v>
      </c>
      <c r="K44" s="105">
        <f t="shared" si="8"/>
        <v>23.7336</v>
      </c>
      <c r="L44" s="4">
        <f t="shared" si="9"/>
        <v>4</v>
      </c>
      <c r="M44" s="107" t="str">
        <f t="shared" si="11"/>
        <v>FEPR ou XLPE2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0"/>
      <c r="B45" s="41" t="s">
        <v>87</v>
      </c>
      <c r="C45" s="42">
        <v>2.0</v>
      </c>
      <c r="D45" s="41">
        <f t="array" ref="D45">INDEX('Dados de Entrada'!$A$2:$M$7,MATCH(L45,'Dados de Entrada'!$A$2:$A$7,1),MATCH(C45,'Dados de Entrada'!$A$2:$M$2,1))</f>
        <v>0.88</v>
      </c>
      <c r="E45" s="41">
        <f t="array" ref="E45">INDEX('Dados de Entrada'!$A$10:$C$11,2,MATCH(G45,'Dados de Entrada'!$A$10:$C$10,0))</f>
        <v>0.87</v>
      </c>
      <c r="F45" s="41">
        <v>1.15</v>
      </c>
      <c r="G45" s="41" t="s">
        <v>11</v>
      </c>
      <c r="H45" s="49">
        <f t="shared" si="6"/>
        <v>10.54545455</v>
      </c>
      <c r="I45" s="104">
        <f>((H44*F44)/(E44*D44))</f>
        <v>15.84022039</v>
      </c>
      <c r="J45" s="105">
        <v>31.0</v>
      </c>
      <c r="K45" s="105">
        <f t="shared" si="8"/>
        <v>23.7336</v>
      </c>
      <c r="L45" s="4">
        <v>4.0</v>
      </c>
      <c r="M45" s="107" t="str">
        <f t="shared" si="11"/>
        <v>FEPR ou XLPE2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100" t="s">
        <v>90</v>
      </c>
      <c r="B46" s="41" t="s">
        <v>91</v>
      </c>
      <c r="C46" s="41">
        <v>1.0</v>
      </c>
      <c r="D46" s="41">
        <f t="array" ref="D46">INDEX('Dados de Entrada'!$A$2:$M$7,MATCH(L46,'Dados de Entrada'!$A$2:$A$7,1),MATCH(C46,'Dados de Entrada'!$A$2:$M$2,1))</f>
        <v>1</v>
      </c>
      <c r="E46" s="41">
        <f t="array" ref="E46">INDEX('Dados de Entrada'!$A$10:$C$11,2,MATCH(G46,'Dados de Entrada'!$A$10:$C$10,0))</f>
        <v>0.79</v>
      </c>
      <c r="F46" s="41">
        <v>1.15</v>
      </c>
      <c r="G46" s="41" t="s">
        <v>10</v>
      </c>
      <c r="H46" s="49">
        <f t="shared" si="6"/>
        <v>1.636363636</v>
      </c>
      <c r="I46" s="104">
        <f t="shared" ref="I46:I49" si="12">((H46*F46)/(E46*D46))</f>
        <v>2.382048331</v>
      </c>
      <c r="J46" s="105">
        <v>17.5</v>
      </c>
      <c r="K46" s="105">
        <f t="shared" si="8"/>
        <v>13.825</v>
      </c>
      <c r="L46" s="4">
        <f t="shared" ref="L46:L49" si="13">IF(E21=7,1,4)</f>
        <v>1</v>
      </c>
      <c r="M46" s="107" t="str">
        <f t="shared" si="11"/>
        <v>B1PVC2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112" t="s">
        <v>94</v>
      </c>
      <c r="B47" s="41" t="s">
        <v>95</v>
      </c>
      <c r="C47" s="41">
        <v>2.0</v>
      </c>
      <c r="D47" s="41">
        <f t="array" ref="D47">INDEX('Dados de Entrada'!$A$2:$M$7,MATCH(L47,'Dados de Entrada'!$A$2:$A$7,1),MATCH(C47,'Dados de Entrada'!$A$2:$M$2,1))</f>
        <v>0.8</v>
      </c>
      <c r="E47" s="41">
        <f t="array" ref="E47">INDEX('Dados de Entrada'!$A$10:$C$11,2,MATCH(G47,'Dados de Entrada'!$A$10:$C$10,0))</f>
        <v>0.79</v>
      </c>
      <c r="F47" s="41">
        <v>1.15</v>
      </c>
      <c r="G47" s="41" t="s">
        <v>10</v>
      </c>
      <c r="H47" s="49">
        <f t="shared" si="6"/>
        <v>2.454545455</v>
      </c>
      <c r="I47" s="104">
        <f t="shared" si="12"/>
        <v>4.466340621</v>
      </c>
      <c r="J47" s="121">
        <v>17.5</v>
      </c>
      <c r="K47" s="121">
        <f t="shared" si="8"/>
        <v>11.06</v>
      </c>
      <c r="L47" s="4">
        <f t="shared" si="13"/>
        <v>1</v>
      </c>
      <c r="M47" s="107" t="str">
        <f t="shared" si="11"/>
        <v>B1PVC2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0"/>
      <c r="B48" s="41" t="s">
        <v>98</v>
      </c>
      <c r="C48" s="41">
        <v>2.0</v>
      </c>
      <c r="D48" s="41">
        <f t="array" ref="D48">INDEX('Dados de Entrada'!$A$2:$M$7,MATCH(L48,'Dados de Entrada'!$A$2:$A$7,1),MATCH(C48,'Dados de Entrada'!$A$2:$M$2,1))</f>
        <v>0.8</v>
      </c>
      <c r="E48" s="41">
        <f t="array" ref="E48">INDEX('Dados de Entrada'!$A$10:$C$11,2,MATCH(G48,'Dados de Entrada'!$A$10:$C$10,0))</f>
        <v>0.79</v>
      </c>
      <c r="F48" s="41">
        <v>1.15</v>
      </c>
      <c r="G48" s="41" t="s">
        <v>10</v>
      </c>
      <c r="H48" s="49">
        <f t="shared" si="6"/>
        <v>6.545454545</v>
      </c>
      <c r="I48" s="104">
        <f t="shared" si="12"/>
        <v>11.91024166</v>
      </c>
      <c r="J48" s="121">
        <v>17.5</v>
      </c>
      <c r="K48" s="121">
        <f t="shared" si="8"/>
        <v>11.06</v>
      </c>
      <c r="L48" s="4">
        <f t="shared" si="13"/>
        <v>1</v>
      </c>
      <c r="M48" s="107" t="str">
        <f t="shared" si="11"/>
        <v>B1PVC2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39" t="s">
        <v>100</v>
      </c>
      <c r="B49" s="41" t="s">
        <v>101</v>
      </c>
      <c r="C49" s="41">
        <v>1.0</v>
      </c>
      <c r="D49" s="41">
        <f t="array" ref="D49">INDEX('Dados de Entrada'!$A$2:$M$7,MATCH(L49,'Dados de Entrada'!$A$2:$A$7,1),MATCH(C49,'Dados de Entrada'!$A$2:$M$2,1))</f>
        <v>1</v>
      </c>
      <c r="E49" s="41">
        <f t="array" ref="E49">INDEX('Dados de Entrada'!$A$10:$C$11,2,MATCH(G49,'Dados de Entrada'!$A$10:$C$10,0))</f>
        <v>0.79</v>
      </c>
      <c r="F49" s="41">
        <v>1.15</v>
      </c>
      <c r="G49" s="41" t="s">
        <v>10</v>
      </c>
      <c r="H49" s="49">
        <f t="shared" si="6"/>
        <v>0.8181818182</v>
      </c>
      <c r="I49" s="104">
        <f t="shared" si="12"/>
        <v>1.191024166</v>
      </c>
      <c r="J49" s="105">
        <v>17.5</v>
      </c>
      <c r="K49" s="105">
        <f t="shared" si="8"/>
        <v>13.825</v>
      </c>
      <c r="L49" s="4">
        <f t="shared" si="13"/>
        <v>1</v>
      </c>
      <c r="M49" s="107" t="str">
        <f t="shared" si="11"/>
        <v>B1PVC2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122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96" t="s">
        <v>136</v>
      </c>
      <c r="B51" s="2"/>
      <c r="C51" s="2"/>
      <c r="D51" s="2"/>
      <c r="E51" s="3"/>
      <c r="F51" s="4"/>
      <c r="G51" s="4"/>
      <c r="H51" s="4"/>
      <c r="I51" s="122"/>
      <c r="J51" s="4"/>
      <c r="K51" s="4">
        <f>41*1.05*0.82</f>
        <v>35.301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97" t="s">
        <v>22</v>
      </c>
      <c r="B52" s="97" t="s">
        <v>24</v>
      </c>
      <c r="C52" s="123" t="s">
        <v>137</v>
      </c>
      <c r="D52" s="123" t="s">
        <v>139</v>
      </c>
      <c r="E52" s="123" t="s">
        <v>140</v>
      </c>
      <c r="F52" s="4"/>
      <c r="G52" s="4"/>
      <c r="H52" s="4"/>
      <c r="I52" s="122"/>
      <c r="J52" s="4"/>
      <c r="K52" s="125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100" t="s">
        <v>38</v>
      </c>
      <c r="B53" s="41" t="s">
        <v>39</v>
      </c>
      <c r="C53" s="41">
        <v>1.5</v>
      </c>
      <c r="D53" s="41">
        <v>1.5</v>
      </c>
      <c r="E53" s="41">
        <v>1.5</v>
      </c>
      <c r="F53" s="4"/>
      <c r="G53" s="4"/>
      <c r="H53" s="4"/>
      <c r="I53" s="122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100" t="s">
        <v>47</v>
      </c>
      <c r="B54" s="41" t="s">
        <v>48</v>
      </c>
      <c r="C54" s="41">
        <v>1.5</v>
      </c>
      <c r="D54" s="41">
        <v>1.5</v>
      </c>
      <c r="E54" s="41">
        <v>1.5</v>
      </c>
      <c r="F54" s="4"/>
      <c r="G54" s="4"/>
      <c r="H54" s="4"/>
      <c r="I54" s="122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100" t="s">
        <v>59</v>
      </c>
      <c r="B55" s="41" t="s">
        <v>60</v>
      </c>
      <c r="C55" s="41">
        <v>1.5</v>
      </c>
      <c r="D55" s="41">
        <v>1.5</v>
      </c>
      <c r="E55" s="41">
        <v>1.5</v>
      </c>
      <c r="F55" s="4"/>
      <c r="G55" s="4"/>
      <c r="H55" s="4"/>
      <c r="I55" s="122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100" t="s">
        <v>63</v>
      </c>
      <c r="B56" s="41" t="s">
        <v>64</v>
      </c>
      <c r="C56" s="41">
        <v>1.5</v>
      </c>
      <c r="D56" s="41">
        <v>1.5</v>
      </c>
      <c r="E56" s="41">
        <v>1.5</v>
      </c>
      <c r="F56" s="4"/>
      <c r="G56" s="4"/>
      <c r="H56" s="4"/>
      <c r="I56" s="122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112" t="s">
        <v>66</v>
      </c>
      <c r="B57" s="41" t="s">
        <v>67</v>
      </c>
      <c r="C57" s="41">
        <v>4.0</v>
      </c>
      <c r="D57" s="41">
        <v>4.0</v>
      </c>
      <c r="E57" s="41">
        <v>4.0</v>
      </c>
      <c r="F57" s="4"/>
      <c r="G57" s="4"/>
      <c r="H57" s="4"/>
      <c r="I57" s="122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34"/>
      <c r="B58" s="41" t="s">
        <v>70</v>
      </c>
      <c r="C58" s="41">
        <v>4.0</v>
      </c>
      <c r="D58" s="65">
        <v>4.0</v>
      </c>
      <c r="E58" s="65">
        <v>4.0</v>
      </c>
      <c r="F58" s="4"/>
      <c r="G58" s="4"/>
      <c r="H58" s="4"/>
      <c r="I58" s="122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34"/>
      <c r="B59" s="41" t="s">
        <v>71</v>
      </c>
      <c r="C59" s="41">
        <v>4.0</v>
      </c>
      <c r="D59" s="41">
        <v>4.0</v>
      </c>
      <c r="E59" s="41">
        <v>4.0</v>
      </c>
      <c r="F59" s="4"/>
      <c r="G59" s="4"/>
      <c r="H59" s="4"/>
      <c r="I59" s="122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34"/>
      <c r="B60" s="41" t="s">
        <v>72</v>
      </c>
      <c r="C60" s="41">
        <v>4.0</v>
      </c>
      <c r="D60" s="41">
        <v>4.0</v>
      </c>
      <c r="E60" s="41">
        <v>4.0</v>
      </c>
      <c r="F60" s="4"/>
      <c r="G60" s="4"/>
      <c r="H60" s="4"/>
      <c r="I60" s="122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34"/>
      <c r="B61" s="41" t="s">
        <v>73</v>
      </c>
      <c r="C61" s="41">
        <v>4.0</v>
      </c>
      <c r="D61" s="41">
        <v>4.0</v>
      </c>
      <c r="E61" s="41">
        <v>4.0</v>
      </c>
      <c r="F61" s="4"/>
      <c r="G61" s="4"/>
      <c r="H61" s="4"/>
      <c r="I61" s="122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34"/>
      <c r="B62" s="41" t="s">
        <v>74</v>
      </c>
      <c r="C62" s="41">
        <v>4.0</v>
      </c>
      <c r="D62" s="41">
        <v>4.0</v>
      </c>
      <c r="E62" s="41">
        <v>4.0</v>
      </c>
      <c r="F62" s="4"/>
      <c r="G62" s="4"/>
      <c r="H62" s="4"/>
      <c r="I62" s="122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34"/>
      <c r="B63" s="41" t="s">
        <v>75</v>
      </c>
      <c r="C63" s="41">
        <v>4.0</v>
      </c>
      <c r="D63" s="41">
        <v>4.0</v>
      </c>
      <c r="E63" s="41">
        <v>4.0</v>
      </c>
      <c r="F63" s="4"/>
      <c r="G63" s="4"/>
      <c r="H63" s="4"/>
      <c r="I63" s="122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34"/>
      <c r="B64" s="41" t="s">
        <v>77</v>
      </c>
      <c r="C64" s="41">
        <v>4.0</v>
      </c>
      <c r="D64" s="41">
        <v>4.0</v>
      </c>
      <c r="E64" s="41">
        <v>4.0</v>
      </c>
      <c r="F64" s="4"/>
      <c r="G64" s="4"/>
      <c r="H64" s="4"/>
      <c r="I64" s="122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34"/>
      <c r="B65" s="41" t="s">
        <v>79</v>
      </c>
      <c r="C65" s="41">
        <v>4.0</v>
      </c>
      <c r="D65" s="41">
        <v>4.0</v>
      </c>
      <c r="E65" s="41">
        <v>4.0</v>
      </c>
      <c r="F65" s="4"/>
      <c r="G65" s="4"/>
      <c r="H65" s="4"/>
      <c r="I65" s="122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34"/>
      <c r="B66" s="41" t="s">
        <v>80</v>
      </c>
      <c r="C66" s="41">
        <v>4.0</v>
      </c>
      <c r="D66" s="41">
        <v>4.0</v>
      </c>
      <c r="E66" s="41">
        <v>4.0</v>
      </c>
      <c r="F66" s="4"/>
      <c r="G66" s="4"/>
      <c r="H66" s="4"/>
      <c r="I66" s="122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34"/>
      <c r="B67" s="41" t="s">
        <v>82</v>
      </c>
      <c r="C67" s="41">
        <v>4.0</v>
      </c>
      <c r="D67" s="41">
        <v>4.0</v>
      </c>
      <c r="E67" s="41">
        <v>4.0</v>
      </c>
      <c r="F67" s="4"/>
      <c r="G67" s="4"/>
      <c r="H67" s="4"/>
      <c r="I67" s="122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34"/>
      <c r="B68" s="41" t="s">
        <v>84</v>
      </c>
      <c r="C68" s="41">
        <v>4.0</v>
      </c>
      <c r="D68" s="41">
        <v>4.0</v>
      </c>
      <c r="E68" s="41">
        <v>4.0</v>
      </c>
      <c r="F68" s="4"/>
      <c r="G68" s="4"/>
      <c r="H68" s="4"/>
      <c r="I68" s="122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34"/>
      <c r="B69" s="41" t="s">
        <v>85</v>
      </c>
      <c r="C69" s="41">
        <v>2.5</v>
      </c>
      <c r="D69" s="41">
        <v>2.5</v>
      </c>
      <c r="E69" s="41">
        <v>2.5</v>
      </c>
      <c r="F69" s="4"/>
      <c r="G69" s="4"/>
      <c r="H69" s="4"/>
      <c r="I69" s="122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0"/>
      <c r="B70" s="41" t="s">
        <v>87</v>
      </c>
      <c r="C70" s="41">
        <v>2.5</v>
      </c>
      <c r="D70" s="41">
        <v>2.5</v>
      </c>
      <c r="E70" s="41">
        <v>2.5</v>
      </c>
      <c r="F70" s="4"/>
      <c r="G70" s="132" t="s">
        <v>168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100" t="s">
        <v>90</v>
      </c>
      <c r="B71" s="41" t="s">
        <v>91</v>
      </c>
      <c r="C71" s="41">
        <v>1.5</v>
      </c>
      <c r="D71" s="41">
        <v>1.5</v>
      </c>
      <c r="E71" s="41">
        <v>1.5</v>
      </c>
      <c r="F71" s="4"/>
      <c r="G71" s="132" t="s">
        <v>170</v>
      </c>
      <c r="H71" s="133"/>
      <c r="I71" s="13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112" t="s">
        <v>94</v>
      </c>
      <c r="B72" s="41" t="s">
        <v>95</v>
      </c>
      <c r="C72" s="41">
        <v>1.5</v>
      </c>
      <c r="D72" s="41">
        <v>1.5</v>
      </c>
      <c r="E72" s="41">
        <v>1.5</v>
      </c>
      <c r="F72" s="4"/>
      <c r="G72" s="132" t="s">
        <v>173</v>
      </c>
      <c r="H72" s="133"/>
      <c r="I72" s="13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0"/>
      <c r="B73" s="41" t="s">
        <v>98</v>
      </c>
      <c r="C73" s="41">
        <v>1.5</v>
      </c>
      <c r="D73" s="41">
        <v>1.5</v>
      </c>
      <c r="E73" s="41">
        <v>1.5</v>
      </c>
      <c r="F73" s="4"/>
      <c r="G73" s="4"/>
      <c r="H73" s="4"/>
      <c r="I73" s="122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100" t="s">
        <v>100</v>
      </c>
      <c r="B74" s="41" t="s">
        <v>101</v>
      </c>
      <c r="C74" s="41">
        <v>1.5</v>
      </c>
      <c r="D74" s="41">
        <v>1.5</v>
      </c>
      <c r="E74" s="41">
        <v>1.5</v>
      </c>
      <c r="F74" s="4"/>
      <c r="G74" s="4"/>
      <c r="H74" s="4"/>
      <c r="I74" s="122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122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122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idden="1">
      <c r="A77" s="131" t="s">
        <v>2</v>
      </c>
      <c r="D77" s="139"/>
      <c r="E77" s="139"/>
      <c r="F77" s="139"/>
      <c r="G77" s="139"/>
      <c r="H77" s="139"/>
      <c r="I77" s="70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idden="1">
      <c r="A78" s="140" t="s">
        <v>116</v>
      </c>
      <c r="B78" s="140" t="s">
        <v>44</v>
      </c>
      <c r="C78" s="140" t="s">
        <v>45</v>
      </c>
      <c r="D78" s="140" t="s">
        <v>46</v>
      </c>
      <c r="E78" s="140" t="s">
        <v>49</v>
      </c>
      <c r="F78" s="140" t="s">
        <v>51</v>
      </c>
      <c r="G78" s="140" t="s">
        <v>178</v>
      </c>
      <c r="H78" s="140" t="s">
        <v>179</v>
      </c>
      <c r="I78" s="144" t="s">
        <v>180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idden="1">
      <c r="A79" s="146" t="s">
        <v>117</v>
      </c>
      <c r="B79" s="148"/>
      <c r="C79" s="149"/>
      <c r="D79" s="146">
        <f t="shared" ref="D79:D85" si="14">14.8137*10^-3</f>
        <v>0.0148137</v>
      </c>
      <c r="E79" s="146">
        <f t="shared" ref="E79:E85" si="15">0.1378*10^-3</f>
        <v>0.0001378</v>
      </c>
      <c r="F79" s="146"/>
      <c r="G79" s="146">
        <f t="shared" ref="G79:G85" si="16">2*B79*C79*(D79*F79+E79*SIN(ACOS(F79)))</f>
        <v>0</v>
      </c>
      <c r="H79" s="150">
        <f t="shared" ref="H79:H85" si="17">G79/220</f>
        <v>0</v>
      </c>
      <c r="I79" s="80">
        <f>H79</f>
        <v>0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idden="1">
      <c r="A80" s="146" t="s">
        <v>81</v>
      </c>
      <c r="B80" s="148"/>
      <c r="C80" s="146"/>
      <c r="D80" s="146">
        <f t="shared" si="14"/>
        <v>0.0148137</v>
      </c>
      <c r="E80" s="146">
        <f t="shared" si="15"/>
        <v>0.0001378</v>
      </c>
      <c r="F80" s="146"/>
      <c r="G80" s="146">
        <f t="shared" si="16"/>
        <v>0</v>
      </c>
      <c r="H80" s="150">
        <f t="shared" si="17"/>
        <v>0</v>
      </c>
      <c r="I80" s="80">
        <f t="shared" ref="I80:I85" si="18">I79+H80</f>
        <v>0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idden="1">
      <c r="A81" s="146" t="s">
        <v>88</v>
      </c>
      <c r="B81" s="148"/>
      <c r="C81" s="146"/>
      <c r="D81" s="146">
        <f t="shared" si="14"/>
        <v>0.0148137</v>
      </c>
      <c r="E81" s="146">
        <f t="shared" si="15"/>
        <v>0.0001378</v>
      </c>
      <c r="F81" s="146"/>
      <c r="G81" s="146">
        <f t="shared" si="16"/>
        <v>0</v>
      </c>
      <c r="H81" s="150">
        <f t="shared" si="17"/>
        <v>0</v>
      </c>
      <c r="I81" s="80">
        <f t="shared" si="18"/>
        <v>0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idden="1">
      <c r="A82" s="146" t="s">
        <v>93</v>
      </c>
      <c r="B82" s="148"/>
      <c r="C82" s="146"/>
      <c r="D82" s="146">
        <f t="shared" si="14"/>
        <v>0.0148137</v>
      </c>
      <c r="E82" s="146">
        <f t="shared" si="15"/>
        <v>0.0001378</v>
      </c>
      <c r="F82" s="146"/>
      <c r="G82" s="146">
        <f t="shared" si="16"/>
        <v>0</v>
      </c>
      <c r="H82" s="150">
        <f t="shared" si="17"/>
        <v>0</v>
      </c>
      <c r="I82" s="80">
        <f t="shared" si="18"/>
        <v>0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idden="1">
      <c r="A83" s="146" t="s">
        <v>105</v>
      </c>
      <c r="B83" s="148"/>
      <c r="C83" s="146"/>
      <c r="D83" s="146">
        <f t="shared" si="14"/>
        <v>0.0148137</v>
      </c>
      <c r="E83" s="146">
        <f t="shared" si="15"/>
        <v>0.0001378</v>
      </c>
      <c r="F83" s="146"/>
      <c r="G83" s="146">
        <f t="shared" si="16"/>
        <v>0</v>
      </c>
      <c r="H83" s="150">
        <f t="shared" si="17"/>
        <v>0</v>
      </c>
      <c r="I83" s="80">
        <f t="shared" si="18"/>
        <v>0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idden="1">
      <c r="A84" s="146" t="s">
        <v>185</v>
      </c>
      <c r="B84" s="148"/>
      <c r="C84" s="146"/>
      <c r="D84" s="146">
        <f t="shared" si="14"/>
        <v>0.0148137</v>
      </c>
      <c r="E84" s="146">
        <f t="shared" si="15"/>
        <v>0.0001378</v>
      </c>
      <c r="F84" s="146"/>
      <c r="G84" s="146">
        <f t="shared" si="16"/>
        <v>0</v>
      </c>
      <c r="H84" s="150">
        <f t="shared" si="17"/>
        <v>0</v>
      </c>
      <c r="I84" s="80">
        <f t="shared" si="18"/>
        <v>0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idden="1">
      <c r="A85" s="146" t="s">
        <v>186</v>
      </c>
      <c r="B85" s="148"/>
      <c r="C85" s="146"/>
      <c r="D85" s="146">
        <f t="shared" si="14"/>
        <v>0.0148137</v>
      </c>
      <c r="E85" s="146">
        <f t="shared" si="15"/>
        <v>0.0001378</v>
      </c>
      <c r="F85" s="146"/>
      <c r="G85" s="146">
        <f t="shared" si="16"/>
        <v>0</v>
      </c>
      <c r="H85" s="150">
        <f t="shared" si="17"/>
        <v>0</v>
      </c>
      <c r="I85" s="80">
        <f t="shared" si="18"/>
        <v>0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idden="1">
      <c r="A86" s="139"/>
      <c r="B86" s="139"/>
      <c r="C86" s="139"/>
      <c r="D86" s="139"/>
      <c r="E86" s="139"/>
      <c r="F86" s="139"/>
      <c r="G86" s="139"/>
      <c r="H86" s="139"/>
      <c r="I86" s="70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idden="1">
      <c r="A87" s="139"/>
      <c r="B87" s="131" t="s">
        <v>188</v>
      </c>
      <c r="C87" s="139"/>
      <c r="D87" s="139"/>
      <c r="E87" s="139"/>
      <c r="F87" s="139"/>
      <c r="G87" s="139"/>
      <c r="H87" s="139"/>
      <c r="I87" s="70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idden="1">
      <c r="A88" s="140" t="s">
        <v>116</v>
      </c>
      <c r="B88" s="140" t="s">
        <v>44</v>
      </c>
      <c r="C88" s="140" t="s">
        <v>45</v>
      </c>
      <c r="D88" s="140" t="s">
        <v>46</v>
      </c>
      <c r="E88" s="140" t="s">
        <v>49</v>
      </c>
      <c r="F88" s="140" t="s">
        <v>51</v>
      </c>
      <c r="G88" s="140" t="s">
        <v>178</v>
      </c>
      <c r="H88" s="140" t="s">
        <v>179</v>
      </c>
      <c r="I88" s="144" t="s">
        <v>180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idden="1">
      <c r="A89" s="146" t="s">
        <v>117</v>
      </c>
      <c r="B89" s="151"/>
      <c r="C89" s="149"/>
      <c r="D89" s="146">
        <f t="shared" ref="D89:D92" si="19">14.8137*10^-3</f>
        <v>0.0148137</v>
      </c>
      <c r="E89" s="146">
        <f t="shared" ref="E89:E92" si="20">0.1378*10^-3</f>
        <v>0.0001378</v>
      </c>
      <c r="F89" s="146"/>
      <c r="G89" s="146">
        <f t="shared" ref="G89:G92" si="21">2*B89*C89*(D89*F89+E89*SIN(ACOS(F89)))</f>
        <v>0</v>
      </c>
      <c r="H89" s="150">
        <f t="shared" ref="H89:H92" si="22">G89/220</f>
        <v>0</v>
      </c>
      <c r="I89" s="80">
        <f>H89</f>
        <v>0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idden="1">
      <c r="A90" s="146" t="s">
        <v>81</v>
      </c>
      <c r="B90" s="151"/>
      <c r="C90" s="146"/>
      <c r="D90" s="146">
        <f t="shared" si="19"/>
        <v>0.0148137</v>
      </c>
      <c r="E90" s="146">
        <f t="shared" si="20"/>
        <v>0.0001378</v>
      </c>
      <c r="F90" s="146"/>
      <c r="G90" s="146">
        <f t="shared" si="21"/>
        <v>0</v>
      </c>
      <c r="H90" s="150">
        <f t="shared" si="22"/>
        <v>0</v>
      </c>
      <c r="I90" s="80">
        <f t="shared" ref="I90:I92" si="23">I89+H90</f>
        <v>0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idden="1">
      <c r="A91" s="146" t="s">
        <v>88</v>
      </c>
      <c r="B91" s="151"/>
      <c r="C91" s="146"/>
      <c r="D91" s="146">
        <f t="shared" si="19"/>
        <v>0.0148137</v>
      </c>
      <c r="E91" s="146">
        <f t="shared" si="20"/>
        <v>0.0001378</v>
      </c>
      <c r="F91" s="146"/>
      <c r="G91" s="146">
        <f t="shared" si="21"/>
        <v>0</v>
      </c>
      <c r="H91" s="150">
        <f t="shared" si="22"/>
        <v>0</v>
      </c>
      <c r="I91" s="80">
        <f t="shared" si="23"/>
        <v>0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idden="1">
      <c r="A92" s="146" t="s">
        <v>196</v>
      </c>
      <c r="B92" s="151">
        <f>B89/4</f>
        <v>0</v>
      </c>
      <c r="C92" s="146">
        <v>4.0</v>
      </c>
      <c r="D92" s="146">
        <f t="shared" si="19"/>
        <v>0.0148137</v>
      </c>
      <c r="E92" s="146">
        <f t="shared" si="20"/>
        <v>0.0001378</v>
      </c>
      <c r="F92" s="146"/>
      <c r="G92" s="146">
        <f t="shared" si="21"/>
        <v>0</v>
      </c>
      <c r="H92" s="150">
        <f t="shared" si="22"/>
        <v>0</v>
      </c>
      <c r="I92" s="80">
        <f t="shared" si="23"/>
        <v>0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idden="1">
      <c r="A93" s="139"/>
      <c r="B93" s="139"/>
      <c r="C93" s="139"/>
      <c r="D93" s="139"/>
      <c r="E93" s="139"/>
      <c r="F93" s="139"/>
      <c r="G93" s="139"/>
      <c r="H93" s="139"/>
      <c r="I93" s="70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idden="1">
      <c r="A94" s="139"/>
      <c r="B94" s="131" t="s">
        <v>205</v>
      </c>
      <c r="C94" s="139"/>
      <c r="D94" s="139"/>
      <c r="E94" s="139"/>
      <c r="F94" s="139"/>
      <c r="G94" s="139"/>
      <c r="H94" s="139"/>
      <c r="I94" s="70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idden="1">
      <c r="A95" s="140" t="s">
        <v>125</v>
      </c>
      <c r="B95" s="140" t="s">
        <v>44</v>
      </c>
      <c r="C95" s="140" t="s">
        <v>45</v>
      </c>
      <c r="D95" s="140" t="s">
        <v>46</v>
      </c>
      <c r="E95" s="140" t="s">
        <v>49</v>
      </c>
      <c r="F95" s="140" t="s">
        <v>51</v>
      </c>
      <c r="G95" s="140" t="s">
        <v>178</v>
      </c>
      <c r="H95" s="140" t="s">
        <v>179</v>
      </c>
      <c r="I95" s="144" t="s">
        <v>180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idden="1">
      <c r="A96" s="146" t="s">
        <v>126</v>
      </c>
      <c r="B96" s="146"/>
      <c r="C96" s="146"/>
      <c r="D96" s="146">
        <f t="shared" ref="D96:D97" si="24">14.8137*10^-3</f>
        <v>0.0148137</v>
      </c>
      <c r="E96" s="146">
        <f t="shared" ref="E96:E97" si="25">0.1378*10^-3</f>
        <v>0.0001378</v>
      </c>
      <c r="F96" s="146"/>
      <c r="G96" s="146">
        <f t="shared" ref="G96:G97" si="26">2*B96*C96*(D96*F96+E96*SIN(ACOS(F96)))</f>
        <v>0</v>
      </c>
      <c r="H96" s="150">
        <f t="shared" ref="H96:H97" si="27">G96/220</f>
        <v>0</v>
      </c>
      <c r="I96" s="80">
        <f>H96</f>
        <v>0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idden="1">
      <c r="A97" s="146" t="s">
        <v>76</v>
      </c>
      <c r="B97" s="167"/>
      <c r="C97" s="149"/>
      <c r="D97" s="146">
        <f t="shared" si="24"/>
        <v>0.0148137</v>
      </c>
      <c r="E97" s="146">
        <f t="shared" si="25"/>
        <v>0.0001378</v>
      </c>
      <c r="F97" s="146"/>
      <c r="G97" s="146">
        <f t="shared" si="26"/>
        <v>0</v>
      </c>
      <c r="H97" s="150">
        <f t="shared" si="27"/>
        <v>0</v>
      </c>
      <c r="I97" s="80">
        <f>I96+H97</f>
        <v>0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idden="1">
      <c r="A98" s="139"/>
      <c r="B98" s="139"/>
      <c r="C98" s="139"/>
      <c r="D98" s="139"/>
      <c r="E98" s="139"/>
      <c r="F98" s="139"/>
      <c r="G98" s="139"/>
      <c r="H98" s="139"/>
      <c r="I98" s="70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idden="1">
      <c r="A99" s="139"/>
      <c r="B99" s="131" t="s">
        <v>131</v>
      </c>
      <c r="C99" s="139"/>
      <c r="D99" s="139"/>
      <c r="E99" s="139"/>
      <c r="F99" s="139"/>
      <c r="G99" s="139"/>
      <c r="H99" s="139"/>
      <c r="I99" s="70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idden="1">
      <c r="A100" s="171" t="s">
        <v>133</v>
      </c>
      <c r="B100" s="171" t="s">
        <v>44</v>
      </c>
      <c r="C100" s="171" t="s">
        <v>45</v>
      </c>
      <c r="D100" s="171" t="s">
        <v>46</v>
      </c>
      <c r="E100" s="171" t="s">
        <v>49</v>
      </c>
      <c r="F100" s="171"/>
      <c r="G100" s="171" t="s">
        <v>178</v>
      </c>
      <c r="H100" s="171" t="s">
        <v>179</v>
      </c>
      <c r="I100" s="141" t="s">
        <v>180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idden="1">
      <c r="A101" s="171" t="s">
        <v>134</v>
      </c>
      <c r="B101" s="173"/>
      <c r="C101" s="174"/>
      <c r="D101" s="171">
        <f t="shared" ref="D101:D104" si="28">14.8137*10^-3</f>
        <v>0.0148137</v>
      </c>
      <c r="E101" s="171">
        <f t="shared" ref="E101:E104" si="29">0.1378*10^-3</f>
        <v>0.0001378</v>
      </c>
      <c r="F101" s="171"/>
      <c r="G101" s="171">
        <f t="shared" ref="G101:G104" si="30">2*B101*C101*(D101*F101+E101*SIN(ACOS(F101)))</f>
        <v>0</v>
      </c>
      <c r="H101" s="177">
        <f t="shared" ref="H101:H104" si="31">G101/220</f>
        <v>0</v>
      </c>
      <c r="I101" s="147">
        <f>H101</f>
        <v>0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idden="1">
      <c r="A102" s="171" t="s">
        <v>81</v>
      </c>
      <c r="B102" s="173"/>
      <c r="C102" s="174"/>
      <c r="D102" s="171">
        <f t="shared" si="28"/>
        <v>0.0148137</v>
      </c>
      <c r="E102" s="171">
        <f t="shared" si="29"/>
        <v>0.0001378</v>
      </c>
      <c r="F102" s="171"/>
      <c r="G102" s="171">
        <f t="shared" si="30"/>
        <v>0</v>
      </c>
      <c r="H102" s="177">
        <f t="shared" si="31"/>
        <v>0</v>
      </c>
      <c r="I102" s="147">
        <f t="shared" ref="I102:I104" si="32">I101+H102</f>
        <v>0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idden="1">
      <c r="A103" s="171" t="s">
        <v>88</v>
      </c>
      <c r="B103" s="173"/>
      <c r="C103" s="174"/>
      <c r="D103" s="171">
        <f t="shared" si="28"/>
        <v>0.0148137</v>
      </c>
      <c r="E103" s="171">
        <f t="shared" si="29"/>
        <v>0.0001378</v>
      </c>
      <c r="F103" s="171"/>
      <c r="G103" s="171">
        <f t="shared" si="30"/>
        <v>0</v>
      </c>
      <c r="H103" s="177">
        <f t="shared" si="31"/>
        <v>0</v>
      </c>
      <c r="I103" s="147">
        <f t="shared" si="32"/>
        <v>0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idden="1">
      <c r="A104" s="171" t="s">
        <v>121</v>
      </c>
      <c r="B104" s="173"/>
      <c r="C104" s="174"/>
      <c r="D104" s="171">
        <f t="shared" si="28"/>
        <v>0.0148137</v>
      </c>
      <c r="E104" s="171">
        <f t="shared" si="29"/>
        <v>0.0001378</v>
      </c>
      <c r="F104" s="171"/>
      <c r="G104" s="171">
        <f t="shared" si="30"/>
        <v>0</v>
      </c>
      <c r="H104" s="177">
        <f t="shared" si="31"/>
        <v>0</v>
      </c>
      <c r="I104" s="147">
        <f t="shared" si="32"/>
        <v>0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idden="1">
      <c r="A105" s="139"/>
      <c r="B105" s="139"/>
      <c r="C105" s="139"/>
      <c r="D105" s="139"/>
      <c r="E105" s="139"/>
      <c r="F105" s="139"/>
      <c r="G105" s="139"/>
      <c r="H105" s="139"/>
      <c r="I105" s="70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idden="1">
      <c r="A106" s="139"/>
      <c r="B106" s="131" t="s">
        <v>221</v>
      </c>
      <c r="C106" s="139"/>
      <c r="D106" s="139"/>
      <c r="E106" s="139"/>
      <c r="F106" s="139"/>
      <c r="G106" s="139"/>
      <c r="H106" s="139"/>
      <c r="I106" s="70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idden="1">
      <c r="A107" s="140" t="s">
        <v>223</v>
      </c>
      <c r="B107" s="140" t="s">
        <v>44</v>
      </c>
      <c r="C107" s="140" t="s">
        <v>45</v>
      </c>
      <c r="D107" s="140" t="s">
        <v>46</v>
      </c>
      <c r="E107" s="140" t="s">
        <v>49</v>
      </c>
      <c r="F107" s="140" t="s">
        <v>51</v>
      </c>
      <c r="G107" s="140" t="s">
        <v>178</v>
      </c>
      <c r="H107" s="140" t="s">
        <v>179</v>
      </c>
      <c r="I107" s="144" t="s">
        <v>180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idden="1">
      <c r="A108" s="146" t="s">
        <v>177</v>
      </c>
      <c r="B108" s="151"/>
      <c r="C108" s="189"/>
      <c r="D108" s="146">
        <f t="shared" ref="D108:D116" si="33">8.8882*10^-3</f>
        <v>0.0088882</v>
      </c>
      <c r="E108" s="146">
        <f t="shared" ref="E108:E116" si="34">0.1345*10^-3</f>
        <v>0.0001345</v>
      </c>
      <c r="F108" s="146"/>
      <c r="G108" s="146">
        <f t="shared" ref="G108:G116" si="35">2*B108*C108*(D108*F108+E108*SIN(ACOS(F108)))</f>
        <v>0</v>
      </c>
      <c r="H108" s="150">
        <f t="shared" ref="H108:H116" si="36">G108/220</f>
        <v>0</v>
      </c>
      <c r="I108" s="80">
        <f>H108</f>
        <v>0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idden="1">
      <c r="A109" s="146" t="s">
        <v>81</v>
      </c>
      <c r="B109" s="151"/>
      <c r="C109" s="151"/>
      <c r="D109" s="146">
        <f t="shared" si="33"/>
        <v>0.0088882</v>
      </c>
      <c r="E109" s="146">
        <f t="shared" si="34"/>
        <v>0.0001345</v>
      </c>
      <c r="F109" s="146"/>
      <c r="G109" s="146">
        <f t="shared" si="35"/>
        <v>0</v>
      </c>
      <c r="H109" s="150">
        <f t="shared" si="36"/>
        <v>0</v>
      </c>
      <c r="I109" s="80">
        <f t="shared" ref="I109:I116" si="37">I108+H109</f>
        <v>0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idden="1">
      <c r="A110" s="146" t="s">
        <v>88</v>
      </c>
      <c r="B110" s="151"/>
      <c r="C110" s="151"/>
      <c r="D110" s="146">
        <f t="shared" si="33"/>
        <v>0.0088882</v>
      </c>
      <c r="E110" s="146">
        <f t="shared" si="34"/>
        <v>0.0001345</v>
      </c>
      <c r="F110" s="146"/>
      <c r="G110" s="146">
        <f t="shared" si="35"/>
        <v>0</v>
      </c>
      <c r="H110" s="150">
        <f t="shared" si="36"/>
        <v>0</v>
      </c>
      <c r="I110" s="80">
        <f t="shared" si="37"/>
        <v>0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idden="1">
      <c r="A111" s="146" t="s">
        <v>93</v>
      </c>
      <c r="B111" s="151"/>
      <c r="C111" s="151"/>
      <c r="D111" s="146">
        <f t="shared" si="33"/>
        <v>0.0088882</v>
      </c>
      <c r="E111" s="146">
        <f t="shared" si="34"/>
        <v>0.0001345</v>
      </c>
      <c r="F111" s="146"/>
      <c r="G111" s="146">
        <f t="shared" si="35"/>
        <v>0</v>
      </c>
      <c r="H111" s="150">
        <f t="shared" si="36"/>
        <v>0</v>
      </c>
      <c r="I111" s="80">
        <f t="shared" si="37"/>
        <v>0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idden="1">
      <c r="A112" s="146" t="s">
        <v>105</v>
      </c>
      <c r="B112" s="151"/>
      <c r="C112" s="151"/>
      <c r="D112" s="146">
        <f t="shared" si="33"/>
        <v>0.0088882</v>
      </c>
      <c r="E112" s="146">
        <f t="shared" si="34"/>
        <v>0.0001345</v>
      </c>
      <c r="F112" s="146"/>
      <c r="G112" s="146">
        <f t="shared" si="35"/>
        <v>0</v>
      </c>
      <c r="H112" s="150">
        <f t="shared" si="36"/>
        <v>0</v>
      </c>
      <c r="I112" s="80">
        <f t="shared" si="37"/>
        <v>0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idden="1">
      <c r="A113" s="146" t="s">
        <v>185</v>
      </c>
      <c r="B113" s="151"/>
      <c r="C113" s="151"/>
      <c r="D113" s="146">
        <f t="shared" si="33"/>
        <v>0.0088882</v>
      </c>
      <c r="E113" s="146">
        <f t="shared" si="34"/>
        <v>0.0001345</v>
      </c>
      <c r="F113" s="146"/>
      <c r="G113" s="146">
        <f t="shared" si="35"/>
        <v>0</v>
      </c>
      <c r="H113" s="150">
        <f t="shared" si="36"/>
        <v>0</v>
      </c>
      <c r="I113" s="80">
        <f t="shared" si="37"/>
        <v>0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idden="1">
      <c r="A114" s="146" t="s">
        <v>231</v>
      </c>
      <c r="B114" s="151"/>
      <c r="C114" s="151"/>
      <c r="D114" s="146">
        <f t="shared" si="33"/>
        <v>0.0088882</v>
      </c>
      <c r="E114" s="146">
        <f t="shared" si="34"/>
        <v>0.0001345</v>
      </c>
      <c r="F114" s="146"/>
      <c r="G114" s="146">
        <f t="shared" si="35"/>
        <v>0</v>
      </c>
      <c r="H114" s="150">
        <f t="shared" si="36"/>
        <v>0</v>
      </c>
      <c r="I114" s="80">
        <f t="shared" si="37"/>
        <v>0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idden="1">
      <c r="A115" s="146" t="s">
        <v>233</v>
      </c>
      <c r="B115" s="151"/>
      <c r="C115" s="151"/>
      <c r="D115" s="146">
        <f t="shared" si="33"/>
        <v>0.0088882</v>
      </c>
      <c r="E115" s="146">
        <f t="shared" si="34"/>
        <v>0.0001345</v>
      </c>
      <c r="F115" s="146"/>
      <c r="G115" s="146">
        <f t="shared" si="35"/>
        <v>0</v>
      </c>
      <c r="H115" s="150">
        <f t="shared" si="36"/>
        <v>0</v>
      </c>
      <c r="I115" s="80">
        <f t="shared" si="37"/>
        <v>0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idden="1">
      <c r="A116" s="146" t="s">
        <v>235</v>
      </c>
      <c r="B116" s="151"/>
      <c r="C116" s="151"/>
      <c r="D116" s="146">
        <f t="shared" si="33"/>
        <v>0.0088882</v>
      </c>
      <c r="E116" s="146">
        <f t="shared" si="34"/>
        <v>0.0001345</v>
      </c>
      <c r="F116" s="146"/>
      <c r="G116" s="146">
        <f t="shared" si="35"/>
        <v>0</v>
      </c>
      <c r="H116" s="150">
        <f t="shared" si="36"/>
        <v>0</v>
      </c>
      <c r="I116" s="80">
        <f t="shared" si="37"/>
        <v>0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idden="1">
      <c r="A117" s="139"/>
      <c r="B117" s="139"/>
      <c r="C117" s="139"/>
      <c r="D117" s="139"/>
      <c r="E117" s="139"/>
      <c r="F117" s="139"/>
      <c r="G117" s="139"/>
      <c r="H117" s="139"/>
      <c r="I117" s="70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idden="1">
      <c r="A118" s="139"/>
      <c r="B118" s="139"/>
      <c r="C118" s="139"/>
      <c r="D118" s="139"/>
      <c r="E118" s="139"/>
      <c r="F118" s="139"/>
      <c r="G118" s="139"/>
      <c r="H118" s="139"/>
      <c r="I118" s="70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idden="1">
      <c r="A119" s="140" t="s">
        <v>236</v>
      </c>
      <c r="B119" s="140" t="s">
        <v>44</v>
      </c>
      <c r="C119" s="140" t="s">
        <v>45</v>
      </c>
      <c r="D119" s="140" t="s">
        <v>46</v>
      </c>
      <c r="E119" s="140" t="s">
        <v>49</v>
      </c>
      <c r="F119" s="140" t="s">
        <v>51</v>
      </c>
      <c r="G119" s="140" t="s">
        <v>178</v>
      </c>
      <c r="H119" s="140" t="s">
        <v>179</v>
      </c>
      <c r="I119" s="144" t="s">
        <v>180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idden="1">
      <c r="A120" s="146" t="s">
        <v>177</v>
      </c>
      <c r="B120" s="148"/>
      <c r="C120" s="189"/>
      <c r="D120" s="146">
        <f t="shared" ref="D120:D130" si="38">5.5518*10^-3</f>
        <v>0.0055518</v>
      </c>
      <c r="E120" s="146">
        <f t="shared" ref="E120:E130" si="39">0.1279*10^-3</f>
        <v>0.0001279</v>
      </c>
      <c r="F120" s="146"/>
      <c r="G120" s="146">
        <f t="shared" ref="G120:G130" si="40">2*B120*C120*(D120*F120+E120*SIN(ACOS(F120)))</f>
        <v>0</v>
      </c>
      <c r="H120" s="150">
        <f t="shared" ref="H120:H130" si="41">G120/220</f>
        <v>0</v>
      </c>
      <c r="I120" s="80">
        <f>H120</f>
        <v>0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idden="1">
      <c r="A121" s="146" t="s">
        <v>81</v>
      </c>
      <c r="B121" s="148"/>
      <c r="C121" s="189"/>
      <c r="D121" s="146">
        <f t="shared" si="38"/>
        <v>0.0055518</v>
      </c>
      <c r="E121" s="146">
        <f t="shared" si="39"/>
        <v>0.0001279</v>
      </c>
      <c r="F121" s="146"/>
      <c r="G121" s="146">
        <f t="shared" si="40"/>
        <v>0</v>
      </c>
      <c r="H121" s="150">
        <f t="shared" si="41"/>
        <v>0</v>
      </c>
      <c r="I121" s="80">
        <f t="shared" ref="I121:I130" si="42">I120+H121</f>
        <v>0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idden="1">
      <c r="A122" s="146" t="s">
        <v>88</v>
      </c>
      <c r="B122" s="148"/>
      <c r="C122" s="189"/>
      <c r="D122" s="146">
        <f t="shared" si="38"/>
        <v>0.0055518</v>
      </c>
      <c r="E122" s="146">
        <f t="shared" si="39"/>
        <v>0.0001279</v>
      </c>
      <c r="F122" s="146"/>
      <c r="G122" s="146">
        <f t="shared" si="40"/>
        <v>0</v>
      </c>
      <c r="H122" s="150">
        <f t="shared" si="41"/>
        <v>0</v>
      </c>
      <c r="I122" s="80">
        <f t="shared" si="42"/>
        <v>0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idden="1">
      <c r="A123" s="146" t="s">
        <v>93</v>
      </c>
      <c r="B123" s="148"/>
      <c r="C123" s="189"/>
      <c r="D123" s="146">
        <f t="shared" si="38"/>
        <v>0.0055518</v>
      </c>
      <c r="E123" s="146">
        <f t="shared" si="39"/>
        <v>0.0001279</v>
      </c>
      <c r="F123" s="146"/>
      <c r="G123" s="146">
        <f t="shared" si="40"/>
        <v>0</v>
      </c>
      <c r="H123" s="150">
        <f t="shared" si="41"/>
        <v>0</v>
      </c>
      <c r="I123" s="80">
        <f t="shared" si="42"/>
        <v>0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idden="1">
      <c r="A124" s="146" t="s">
        <v>105</v>
      </c>
      <c r="B124" s="148"/>
      <c r="C124" s="189"/>
      <c r="D124" s="146">
        <f t="shared" si="38"/>
        <v>0.0055518</v>
      </c>
      <c r="E124" s="146">
        <f t="shared" si="39"/>
        <v>0.0001279</v>
      </c>
      <c r="F124" s="146"/>
      <c r="G124" s="146">
        <f t="shared" si="40"/>
        <v>0</v>
      </c>
      <c r="H124" s="150">
        <f t="shared" si="41"/>
        <v>0</v>
      </c>
      <c r="I124" s="80">
        <f t="shared" si="42"/>
        <v>0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idden="1">
      <c r="A125" s="146" t="s">
        <v>185</v>
      </c>
      <c r="B125" s="148"/>
      <c r="C125" s="189"/>
      <c r="D125" s="146">
        <f t="shared" si="38"/>
        <v>0.0055518</v>
      </c>
      <c r="E125" s="146">
        <f t="shared" si="39"/>
        <v>0.0001279</v>
      </c>
      <c r="F125" s="146"/>
      <c r="G125" s="146">
        <f t="shared" si="40"/>
        <v>0</v>
      </c>
      <c r="H125" s="150">
        <f t="shared" si="41"/>
        <v>0</v>
      </c>
      <c r="I125" s="80">
        <f t="shared" si="42"/>
        <v>0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idden="1">
      <c r="A126" s="146" t="s">
        <v>231</v>
      </c>
      <c r="B126" s="148"/>
      <c r="C126" s="189"/>
      <c r="D126" s="146">
        <f t="shared" si="38"/>
        <v>0.0055518</v>
      </c>
      <c r="E126" s="146">
        <f t="shared" si="39"/>
        <v>0.0001279</v>
      </c>
      <c r="F126" s="146"/>
      <c r="G126" s="146">
        <f t="shared" si="40"/>
        <v>0</v>
      </c>
      <c r="H126" s="150">
        <f t="shared" si="41"/>
        <v>0</v>
      </c>
      <c r="I126" s="80">
        <f t="shared" si="42"/>
        <v>0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idden="1">
      <c r="A127" s="146" t="s">
        <v>233</v>
      </c>
      <c r="B127" s="148"/>
      <c r="C127" s="189"/>
      <c r="D127" s="146">
        <f t="shared" si="38"/>
        <v>0.0055518</v>
      </c>
      <c r="E127" s="146">
        <f t="shared" si="39"/>
        <v>0.0001279</v>
      </c>
      <c r="F127" s="146"/>
      <c r="G127" s="146">
        <f t="shared" si="40"/>
        <v>0</v>
      </c>
      <c r="H127" s="150">
        <f t="shared" si="41"/>
        <v>0</v>
      </c>
      <c r="I127" s="80">
        <f t="shared" si="42"/>
        <v>0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idden="1">
      <c r="A128" s="146" t="s">
        <v>237</v>
      </c>
      <c r="B128" s="148"/>
      <c r="C128" s="189"/>
      <c r="D128" s="146">
        <f t="shared" si="38"/>
        <v>0.0055518</v>
      </c>
      <c r="E128" s="146">
        <f t="shared" si="39"/>
        <v>0.0001279</v>
      </c>
      <c r="F128" s="146"/>
      <c r="G128" s="146">
        <f t="shared" si="40"/>
        <v>0</v>
      </c>
      <c r="H128" s="150">
        <f t="shared" si="41"/>
        <v>0</v>
      </c>
      <c r="I128" s="80">
        <f t="shared" si="42"/>
        <v>0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idden="1">
      <c r="A129" s="146" t="s">
        <v>182</v>
      </c>
      <c r="B129" s="148"/>
      <c r="C129" s="189"/>
      <c r="D129" s="146">
        <f t="shared" si="38"/>
        <v>0.0055518</v>
      </c>
      <c r="E129" s="146">
        <f t="shared" si="39"/>
        <v>0.0001279</v>
      </c>
      <c r="F129" s="146"/>
      <c r="G129" s="146">
        <f t="shared" si="40"/>
        <v>0</v>
      </c>
      <c r="H129" s="150">
        <f t="shared" si="41"/>
        <v>0</v>
      </c>
      <c r="I129" s="80">
        <f t="shared" si="42"/>
        <v>0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idden="1">
      <c r="A130" s="146" t="s">
        <v>238</v>
      </c>
      <c r="B130" s="148"/>
      <c r="C130" s="189"/>
      <c r="D130" s="146">
        <f t="shared" si="38"/>
        <v>0.0055518</v>
      </c>
      <c r="E130" s="146">
        <f t="shared" si="39"/>
        <v>0.0001279</v>
      </c>
      <c r="F130" s="146"/>
      <c r="G130" s="146">
        <f t="shared" si="40"/>
        <v>0</v>
      </c>
      <c r="H130" s="150">
        <f t="shared" si="41"/>
        <v>0</v>
      </c>
      <c r="I130" s="80">
        <f t="shared" si="42"/>
        <v>0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idden="1">
      <c r="A131" s="139"/>
      <c r="B131" s="139"/>
      <c r="C131" s="139"/>
      <c r="D131" s="139"/>
      <c r="E131" s="139"/>
      <c r="F131" s="139"/>
      <c r="G131" s="139"/>
      <c r="H131" s="139"/>
      <c r="I131" s="70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idden="1">
      <c r="A132" s="139"/>
      <c r="B132" s="139"/>
      <c r="C132" s="139"/>
      <c r="D132" s="139"/>
      <c r="E132" s="139"/>
      <c r="F132" s="139"/>
      <c r="G132" s="139"/>
      <c r="H132" s="139"/>
      <c r="I132" s="70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idden="1">
      <c r="A133" s="140" t="s">
        <v>241</v>
      </c>
      <c r="B133" s="140" t="s">
        <v>44</v>
      </c>
      <c r="C133" s="140" t="s">
        <v>45</v>
      </c>
      <c r="D133" s="140" t="s">
        <v>46</v>
      </c>
      <c r="E133" s="140" t="s">
        <v>49</v>
      </c>
      <c r="F133" s="140" t="s">
        <v>51</v>
      </c>
      <c r="G133" s="140" t="s">
        <v>178</v>
      </c>
      <c r="H133" s="140" t="s">
        <v>179</v>
      </c>
      <c r="I133" s="144" t="s">
        <v>180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idden="1">
      <c r="A134" s="146" t="s">
        <v>177</v>
      </c>
      <c r="B134" s="148"/>
      <c r="C134" s="189"/>
      <c r="D134" s="146">
        <f t="shared" ref="D134:D142" si="43">8.8882*10^-3</f>
        <v>0.0088882</v>
      </c>
      <c r="E134" s="146">
        <f t="shared" ref="E134:E142" si="44">0.1345*10^-3</f>
        <v>0.0001345</v>
      </c>
      <c r="F134" s="146"/>
      <c r="G134" s="146">
        <f t="shared" ref="G134:G142" si="45">2*B134*C134*(D134*F134+E134*SIN(ACOS(F134)))</f>
        <v>0</v>
      </c>
      <c r="H134" s="150">
        <f t="shared" ref="H134:H142" si="46">G134/220</f>
        <v>0</v>
      </c>
      <c r="I134" s="80">
        <f>H134</f>
        <v>0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idden="1">
      <c r="A135" s="146" t="s">
        <v>81</v>
      </c>
      <c r="B135" s="148"/>
      <c r="C135" s="189"/>
      <c r="D135" s="146">
        <f t="shared" si="43"/>
        <v>0.0088882</v>
      </c>
      <c r="E135" s="146">
        <f t="shared" si="44"/>
        <v>0.0001345</v>
      </c>
      <c r="F135" s="146"/>
      <c r="G135" s="146">
        <f t="shared" si="45"/>
        <v>0</v>
      </c>
      <c r="H135" s="150">
        <f t="shared" si="46"/>
        <v>0</v>
      </c>
      <c r="I135" s="80">
        <f t="shared" ref="I135:I142" si="47">I134+H135</f>
        <v>0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idden="1">
      <c r="A136" s="146" t="s">
        <v>88</v>
      </c>
      <c r="B136" s="148"/>
      <c r="C136" s="189"/>
      <c r="D136" s="146">
        <f t="shared" si="43"/>
        <v>0.0088882</v>
      </c>
      <c r="E136" s="146">
        <f t="shared" si="44"/>
        <v>0.0001345</v>
      </c>
      <c r="F136" s="146"/>
      <c r="G136" s="146">
        <f t="shared" si="45"/>
        <v>0</v>
      </c>
      <c r="H136" s="150">
        <f t="shared" si="46"/>
        <v>0</v>
      </c>
      <c r="I136" s="80">
        <f t="shared" si="47"/>
        <v>0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idden="1">
      <c r="A137" s="146" t="s">
        <v>93</v>
      </c>
      <c r="B137" s="148"/>
      <c r="C137" s="189"/>
      <c r="D137" s="146">
        <f t="shared" si="43"/>
        <v>0.0088882</v>
      </c>
      <c r="E137" s="146">
        <f t="shared" si="44"/>
        <v>0.0001345</v>
      </c>
      <c r="F137" s="146"/>
      <c r="G137" s="146">
        <f t="shared" si="45"/>
        <v>0</v>
      </c>
      <c r="H137" s="150">
        <f t="shared" si="46"/>
        <v>0</v>
      </c>
      <c r="I137" s="80">
        <f t="shared" si="47"/>
        <v>0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idden="1">
      <c r="A138" s="146" t="s">
        <v>105</v>
      </c>
      <c r="B138" s="148"/>
      <c r="C138" s="189"/>
      <c r="D138" s="146">
        <f t="shared" si="43"/>
        <v>0.0088882</v>
      </c>
      <c r="E138" s="146">
        <f t="shared" si="44"/>
        <v>0.0001345</v>
      </c>
      <c r="F138" s="146"/>
      <c r="G138" s="146">
        <f t="shared" si="45"/>
        <v>0</v>
      </c>
      <c r="H138" s="150">
        <f t="shared" si="46"/>
        <v>0</v>
      </c>
      <c r="I138" s="80">
        <f t="shared" si="47"/>
        <v>0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idden="1">
      <c r="A139" s="146" t="s">
        <v>185</v>
      </c>
      <c r="B139" s="148"/>
      <c r="C139" s="189"/>
      <c r="D139" s="146">
        <f t="shared" si="43"/>
        <v>0.0088882</v>
      </c>
      <c r="E139" s="146">
        <f t="shared" si="44"/>
        <v>0.0001345</v>
      </c>
      <c r="F139" s="146"/>
      <c r="G139" s="146">
        <f t="shared" si="45"/>
        <v>0</v>
      </c>
      <c r="H139" s="150">
        <f t="shared" si="46"/>
        <v>0</v>
      </c>
      <c r="I139" s="80">
        <f t="shared" si="47"/>
        <v>0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idden="1">
      <c r="A140" s="146" t="s">
        <v>231</v>
      </c>
      <c r="B140" s="148"/>
      <c r="C140" s="189"/>
      <c r="D140" s="146">
        <f t="shared" si="43"/>
        <v>0.0088882</v>
      </c>
      <c r="E140" s="146">
        <f t="shared" si="44"/>
        <v>0.0001345</v>
      </c>
      <c r="F140" s="146"/>
      <c r="G140" s="146">
        <f t="shared" si="45"/>
        <v>0</v>
      </c>
      <c r="H140" s="150">
        <f t="shared" si="46"/>
        <v>0</v>
      </c>
      <c r="I140" s="80">
        <f t="shared" si="47"/>
        <v>0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idden="1">
      <c r="A141" s="146" t="s">
        <v>233</v>
      </c>
      <c r="B141" s="148"/>
      <c r="C141" s="189"/>
      <c r="D141" s="146">
        <f t="shared" si="43"/>
        <v>0.0088882</v>
      </c>
      <c r="E141" s="146">
        <f t="shared" si="44"/>
        <v>0.0001345</v>
      </c>
      <c r="F141" s="146"/>
      <c r="G141" s="146">
        <f t="shared" si="45"/>
        <v>0</v>
      </c>
      <c r="H141" s="150">
        <f t="shared" si="46"/>
        <v>0</v>
      </c>
      <c r="I141" s="80">
        <f t="shared" si="47"/>
        <v>0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idden="1">
      <c r="A142" s="146" t="s">
        <v>235</v>
      </c>
      <c r="B142" s="148"/>
      <c r="C142" s="189"/>
      <c r="D142" s="146">
        <f t="shared" si="43"/>
        <v>0.0088882</v>
      </c>
      <c r="E142" s="146">
        <f t="shared" si="44"/>
        <v>0.0001345</v>
      </c>
      <c r="F142" s="146"/>
      <c r="G142" s="146">
        <f t="shared" si="45"/>
        <v>0</v>
      </c>
      <c r="H142" s="150">
        <f t="shared" si="46"/>
        <v>0</v>
      </c>
      <c r="I142" s="80">
        <f t="shared" si="47"/>
        <v>0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idden="1">
      <c r="A143" s="139"/>
      <c r="B143" s="139"/>
      <c r="C143" s="139"/>
      <c r="D143" s="139"/>
      <c r="E143" s="139"/>
      <c r="F143" s="139"/>
      <c r="G143" s="139"/>
      <c r="H143" s="139"/>
      <c r="I143" s="70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idden="1">
      <c r="A144" s="140" t="s">
        <v>244</v>
      </c>
      <c r="B144" s="140" t="s">
        <v>44</v>
      </c>
      <c r="C144" s="140" t="s">
        <v>45</v>
      </c>
      <c r="D144" s="140" t="s">
        <v>46</v>
      </c>
      <c r="E144" s="140" t="s">
        <v>49</v>
      </c>
      <c r="F144" s="140" t="s">
        <v>51</v>
      </c>
      <c r="G144" s="140" t="s">
        <v>178</v>
      </c>
      <c r="H144" s="140" t="s">
        <v>179</v>
      </c>
      <c r="I144" s="144" t="s">
        <v>180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idden="1">
      <c r="A145" s="146" t="s">
        <v>177</v>
      </c>
      <c r="B145" s="148"/>
      <c r="C145" s="189"/>
      <c r="D145" s="146">
        <f t="shared" ref="D145:D153" si="48">8.8882*10^-3</f>
        <v>0.0088882</v>
      </c>
      <c r="E145" s="146">
        <f t="shared" ref="E145:E153" si="49">0.1345*10^-3</f>
        <v>0.0001345</v>
      </c>
      <c r="F145" s="146"/>
      <c r="G145" s="146">
        <f t="shared" ref="G145:G153" si="50">2*B145*C145*(D145*F145+E145*SIN(ACOS(F145)))</f>
        <v>0</v>
      </c>
      <c r="H145" s="150">
        <f t="shared" ref="H145:H153" si="51">G145/220</f>
        <v>0</v>
      </c>
      <c r="I145" s="80">
        <f>H145</f>
        <v>0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idden="1">
      <c r="A146" s="146" t="s">
        <v>81</v>
      </c>
      <c r="B146" s="148"/>
      <c r="C146" s="189"/>
      <c r="D146" s="146">
        <f t="shared" si="48"/>
        <v>0.0088882</v>
      </c>
      <c r="E146" s="146">
        <f t="shared" si="49"/>
        <v>0.0001345</v>
      </c>
      <c r="F146" s="146"/>
      <c r="G146" s="146">
        <f t="shared" si="50"/>
        <v>0</v>
      </c>
      <c r="H146" s="150">
        <f t="shared" si="51"/>
        <v>0</v>
      </c>
      <c r="I146" s="80">
        <f t="shared" ref="I146:I153" si="52">I145+H146</f>
        <v>0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idden="1">
      <c r="A147" s="146" t="s">
        <v>88</v>
      </c>
      <c r="B147" s="148"/>
      <c r="C147" s="189"/>
      <c r="D147" s="146">
        <f t="shared" si="48"/>
        <v>0.0088882</v>
      </c>
      <c r="E147" s="146">
        <f t="shared" si="49"/>
        <v>0.0001345</v>
      </c>
      <c r="F147" s="146"/>
      <c r="G147" s="146">
        <f t="shared" si="50"/>
        <v>0</v>
      </c>
      <c r="H147" s="150">
        <f t="shared" si="51"/>
        <v>0</v>
      </c>
      <c r="I147" s="80">
        <f t="shared" si="52"/>
        <v>0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idden="1">
      <c r="A148" s="146" t="s">
        <v>93</v>
      </c>
      <c r="B148" s="148"/>
      <c r="C148" s="189"/>
      <c r="D148" s="146">
        <f t="shared" si="48"/>
        <v>0.0088882</v>
      </c>
      <c r="E148" s="146">
        <f t="shared" si="49"/>
        <v>0.0001345</v>
      </c>
      <c r="F148" s="146"/>
      <c r="G148" s="146">
        <f t="shared" si="50"/>
        <v>0</v>
      </c>
      <c r="H148" s="150">
        <f t="shared" si="51"/>
        <v>0</v>
      </c>
      <c r="I148" s="80">
        <f t="shared" si="52"/>
        <v>0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idden="1">
      <c r="A149" s="146" t="s">
        <v>105</v>
      </c>
      <c r="B149" s="148"/>
      <c r="C149" s="189"/>
      <c r="D149" s="146">
        <f t="shared" si="48"/>
        <v>0.0088882</v>
      </c>
      <c r="E149" s="146">
        <f t="shared" si="49"/>
        <v>0.0001345</v>
      </c>
      <c r="F149" s="146"/>
      <c r="G149" s="146">
        <f t="shared" si="50"/>
        <v>0</v>
      </c>
      <c r="H149" s="150">
        <f t="shared" si="51"/>
        <v>0</v>
      </c>
      <c r="I149" s="80">
        <f t="shared" si="52"/>
        <v>0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idden="1">
      <c r="A150" s="146" t="s">
        <v>185</v>
      </c>
      <c r="B150" s="148"/>
      <c r="C150" s="189"/>
      <c r="D150" s="146">
        <f t="shared" si="48"/>
        <v>0.0088882</v>
      </c>
      <c r="E150" s="146">
        <f t="shared" si="49"/>
        <v>0.0001345</v>
      </c>
      <c r="F150" s="146"/>
      <c r="G150" s="146">
        <f t="shared" si="50"/>
        <v>0</v>
      </c>
      <c r="H150" s="150">
        <f t="shared" si="51"/>
        <v>0</v>
      </c>
      <c r="I150" s="80">
        <f t="shared" si="52"/>
        <v>0</v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idden="1">
      <c r="A151" s="146" t="s">
        <v>231</v>
      </c>
      <c r="B151" s="148"/>
      <c r="C151" s="189"/>
      <c r="D151" s="146">
        <f t="shared" si="48"/>
        <v>0.0088882</v>
      </c>
      <c r="E151" s="146">
        <f t="shared" si="49"/>
        <v>0.0001345</v>
      </c>
      <c r="F151" s="146"/>
      <c r="G151" s="146">
        <f t="shared" si="50"/>
        <v>0</v>
      </c>
      <c r="H151" s="150">
        <f t="shared" si="51"/>
        <v>0</v>
      </c>
      <c r="I151" s="80">
        <f t="shared" si="52"/>
        <v>0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idden="1">
      <c r="A152" s="146" t="s">
        <v>233</v>
      </c>
      <c r="B152" s="148"/>
      <c r="C152" s="189"/>
      <c r="D152" s="146">
        <f t="shared" si="48"/>
        <v>0.0088882</v>
      </c>
      <c r="E152" s="146">
        <f t="shared" si="49"/>
        <v>0.0001345</v>
      </c>
      <c r="F152" s="146"/>
      <c r="G152" s="146">
        <f t="shared" si="50"/>
        <v>0</v>
      </c>
      <c r="H152" s="150">
        <f t="shared" si="51"/>
        <v>0</v>
      </c>
      <c r="I152" s="80">
        <f t="shared" si="52"/>
        <v>0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idden="1">
      <c r="A153" s="146" t="s">
        <v>235</v>
      </c>
      <c r="B153" s="148"/>
      <c r="C153" s="189"/>
      <c r="D153" s="146">
        <f t="shared" si="48"/>
        <v>0.0088882</v>
      </c>
      <c r="E153" s="146">
        <f t="shared" si="49"/>
        <v>0.0001345</v>
      </c>
      <c r="F153" s="146"/>
      <c r="G153" s="146">
        <f t="shared" si="50"/>
        <v>0</v>
      </c>
      <c r="H153" s="150">
        <f t="shared" si="51"/>
        <v>0</v>
      </c>
      <c r="I153" s="80">
        <f t="shared" si="52"/>
        <v>0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idden="1">
      <c r="A154" s="139"/>
      <c r="B154" s="139"/>
      <c r="C154" s="139"/>
      <c r="D154" s="139"/>
      <c r="E154" s="139"/>
      <c r="F154" s="139"/>
      <c r="G154" s="139"/>
      <c r="H154" s="139"/>
      <c r="I154" s="70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idden="1">
      <c r="A155" s="140" t="s">
        <v>246</v>
      </c>
      <c r="B155" s="140" t="s">
        <v>44</v>
      </c>
      <c r="C155" s="140" t="s">
        <v>45</v>
      </c>
      <c r="D155" s="140" t="s">
        <v>46</v>
      </c>
      <c r="E155" s="140" t="s">
        <v>49</v>
      </c>
      <c r="F155" s="140" t="s">
        <v>51</v>
      </c>
      <c r="G155" s="140" t="s">
        <v>178</v>
      </c>
      <c r="H155" s="140" t="s">
        <v>179</v>
      </c>
      <c r="I155" s="144" t="s">
        <v>180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idden="1">
      <c r="A156" s="146" t="s">
        <v>177</v>
      </c>
      <c r="B156" s="148"/>
      <c r="C156" s="189"/>
      <c r="D156" s="146">
        <f t="shared" ref="D156:D164" si="53">5.5518*10^-3</f>
        <v>0.0055518</v>
      </c>
      <c r="E156" s="146">
        <f t="shared" ref="E156:E164" si="54">0.1279*10^-3</f>
        <v>0.0001279</v>
      </c>
      <c r="F156" s="146"/>
      <c r="G156" s="146">
        <f t="shared" ref="G156:G164" si="55">2*B156*C156*(D156*F156+E156*SIN(ACOS(F156)))</f>
        <v>0</v>
      </c>
      <c r="H156" s="150">
        <f t="shared" ref="H156:H164" si="56">G156/220</f>
        <v>0</v>
      </c>
      <c r="I156" s="80">
        <f>H156</f>
        <v>0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idden="1">
      <c r="A157" s="146" t="s">
        <v>81</v>
      </c>
      <c r="B157" s="148"/>
      <c r="C157" s="189"/>
      <c r="D157" s="146">
        <f t="shared" si="53"/>
        <v>0.0055518</v>
      </c>
      <c r="E157" s="146">
        <f t="shared" si="54"/>
        <v>0.0001279</v>
      </c>
      <c r="F157" s="146"/>
      <c r="G157" s="146">
        <f t="shared" si="55"/>
        <v>0</v>
      </c>
      <c r="H157" s="150">
        <f t="shared" si="56"/>
        <v>0</v>
      </c>
      <c r="I157" s="80">
        <f t="shared" ref="I157:I164" si="57">I156+H157</f>
        <v>0</v>
      </c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idden="1">
      <c r="A158" s="146" t="s">
        <v>88</v>
      </c>
      <c r="B158" s="148"/>
      <c r="C158" s="189"/>
      <c r="D158" s="146">
        <f t="shared" si="53"/>
        <v>0.0055518</v>
      </c>
      <c r="E158" s="146">
        <f t="shared" si="54"/>
        <v>0.0001279</v>
      </c>
      <c r="F158" s="146"/>
      <c r="G158" s="146">
        <f t="shared" si="55"/>
        <v>0</v>
      </c>
      <c r="H158" s="150">
        <f t="shared" si="56"/>
        <v>0</v>
      </c>
      <c r="I158" s="80">
        <f t="shared" si="57"/>
        <v>0</v>
      </c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idden="1">
      <c r="A159" s="146" t="s">
        <v>93</v>
      </c>
      <c r="B159" s="148"/>
      <c r="C159" s="189"/>
      <c r="D159" s="146">
        <f t="shared" si="53"/>
        <v>0.0055518</v>
      </c>
      <c r="E159" s="146">
        <f t="shared" si="54"/>
        <v>0.0001279</v>
      </c>
      <c r="F159" s="146"/>
      <c r="G159" s="146">
        <f t="shared" si="55"/>
        <v>0</v>
      </c>
      <c r="H159" s="150">
        <f t="shared" si="56"/>
        <v>0</v>
      </c>
      <c r="I159" s="80">
        <f t="shared" si="57"/>
        <v>0</v>
      </c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idden="1">
      <c r="A160" s="146" t="s">
        <v>105</v>
      </c>
      <c r="B160" s="148"/>
      <c r="C160" s="189"/>
      <c r="D160" s="146">
        <f t="shared" si="53"/>
        <v>0.0055518</v>
      </c>
      <c r="E160" s="146">
        <f t="shared" si="54"/>
        <v>0.0001279</v>
      </c>
      <c r="F160" s="146"/>
      <c r="G160" s="146">
        <f t="shared" si="55"/>
        <v>0</v>
      </c>
      <c r="H160" s="150">
        <f t="shared" si="56"/>
        <v>0</v>
      </c>
      <c r="I160" s="80">
        <f t="shared" si="57"/>
        <v>0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idden="1">
      <c r="A161" s="146" t="s">
        <v>185</v>
      </c>
      <c r="B161" s="148"/>
      <c r="C161" s="189"/>
      <c r="D161" s="146">
        <f t="shared" si="53"/>
        <v>0.0055518</v>
      </c>
      <c r="E161" s="146">
        <f t="shared" si="54"/>
        <v>0.0001279</v>
      </c>
      <c r="F161" s="146"/>
      <c r="G161" s="146">
        <f t="shared" si="55"/>
        <v>0</v>
      </c>
      <c r="H161" s="150">
        <f t="shared" si="56"/>
        <v>0</v>
      </c>
      <c r="I161" s="80">
        <f t="shared" si="57"/>
        <v>0</v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idden="1">
      <c r="A162" s="146" t="s">
        <v>231</v>
      </c>
      <c r="B162" s="148"/>
      <c r="C162" s="189"/>
      <c r="D162" s="146">
        <f t="shared" si="53"/>
        <v>0.0055518</v>
      </c>
      <c r="E162" s="146">
        <f t="shared" si="54"/>
        <v>0.0001279</v>
      </c>
      <c r="F162" s="146"/>
      <c r="G162" s="146">
        <f t="shared" si="55"/>
        <v>0</v>
      </c>
      <c r="H162" s="150">
        <f t="shared" si="56"/>
        <v>0</v>
      </c>
      <c r="I162" s="80">
        <f t="shared" si="57"/>
        <v>0</v>
      </c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idden="1">
      <c r="A163" s="146" t="s">
        <v>233</v>
      </c>
      <c r="B163" s="148"/>
      <c r="C163" s="189"/>
      <c r="D163" s="146">
        <f t="shared" si="53"/>
        <v>0.0055518</v>
      </c>
      <c r="E163" s="146">
        <f t="shared" si="54"/>
        <v>0.0001279</v>
      </c>
      <c r="F163" s="146"/>
      <c r="G163" s="146">
        <f t="shared" si="55"/>
        <v>0</v>
      </c>
      <c r="H163" s="150">
        <f t="shared" si="56"/>
        <v>0</v>
      </c>
      <c r="I163" s="80">
        <f t="shared" si="57"/>
        <v>0</v>
      </c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idden="1">
      <c r="A164" s="146" t="s">
        <v>235</v>
      </c>
      <c r="B164" s="148"/>
      <c r="C164" s="189"/>
      <c r="D164" s="146">
        <f t="shared" si="53"/>
        <v>0.0055518</v>
      </c>
      <c r="E164" s="146">
        <f t="shared" si="54"/>
        <v>0.0001279</v>
      </c>
      <c r="F164" s="146"/>
      <c r="G164" s="146">
        <f t="shared" si="55"/>
        <v>0</v>
      </c>
      <c r="H164" s="150">
        <f t="shared" si="56"/>
        <v>0</v>
      </c>
      <c r="I164" s="80">
        <f t="shared" si="57"/>
        <v>0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idden="1">
      <c r="A165" s="139"/>
      <c r="B165" s="139"/>
      <c r="C165" s="139"/>
      <c r="D165" s="139"/>
      <c r="E165" s="139"/>
      <c r="F165" s="139"/>
      <c r="G165" s="139"/>
      <c r="H165" s="139"/>
      <c r="I165" s="70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idden="1">
      <c r="A166" s="140" t="s">
        <v>247</v>
      </c>
      <c r="B166" s="140" t="s">
        <v>44</v>
      </c>
      <c r="C166" s="140" t="s">
        <v>45</v>
      </c>
      <c r="D166" s="140" t="s">
        <v>46</v>
      </c>
      <c r="E166" s="140" t="s">
        <v>49</v>
      </c>
      <c r="F166" s="140" t="s">
        <v>51</v>
      </c>
      <c r="G166" s="140" t="s">
        <v>178</v>
      </c>
      <c r="H166" s="140" t="s">
        <v>179</v>
      </c>
      <c r="I166" s="144" t="s">
        <v>180</v>
      </c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idden="1">
      <c r="A167" s="146" t="s">
        <v>177</v>
      </c>
      <c r="B167" s="148"/>
      <c r="C167" s="189"/>
      <c r="D167" s="146">
        <f t="shared" ref="D167:D175" si="58">5.5518*10^-3</f>
        <v>0.0055518</v>
      </c>
      <c r="E167" s="146">
        <f t="shared" ref="E167:E175" si="59">0.1279*10^-3</f>
        <v>0.0001279</v>
      </c>
      <c r="F167" s="146"/>
      <c r="G167" s="146">
        <f t="shared" ref="G167:G175" si="60">2*B167*C167*(D167*F167+E167*SIN(ACOS(F167)))</f>
        <v>0</v>
      </c>
      <c r="H167" s="150">
        <f t="shared" ref="H167:H175" si="61">G167/220</f>
        <v>0</v>
      </c>
      <c r="I167" s="80">
        <f>H167</f>
        <v>0</v>
      </c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idden="1">
      <c r="A168" s="146" t="s">
        <v>81</v>
      </c>
      <c r="B168" s="148"/>
      <c r="C168" s="189"/>
      <c r="D168" s="146">
        <f t="shared" si="58"/>
        <v>0.0055518</v>
      </c>
      <c r="E168" s="146">
        <f t="shared" si="59"/>
        <v>0.0001279</v>
      </c>
      <c r="F168" s="146"/>
      <c r="G168" s="146">
        <f t="shared" si="60"/>
        <v>0</v>
      </c>
      <c r="H168" s="150">
        <f t="shared" si="61"/>
        <v>0</v>
      </c>
      <c r="I168" s="80">
        <f t="shared" ref="I168:I175" si="62">I167+H168</f>
        <v>0</v>
      </c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idden="1">
      <c r="A169" s="146" t="s">
        <v>88</v>
      </c>
      <c r="B169" s="148"/>
      <c r="C169" s="189"/>
      <c r="D169" s="146">
        <f t="shared" si="58"/>
        <v>0.0055518</v>
      </c>
      <c r="E169" s="146">
        <f t="shared" si="59"/>
        <v>0.0001279</v>
      </c>
      <c r="F169" s="146"/>
      <c r="G169" s="146">
        <f t="shared" si="60"/>
        <v>0</v>
      </c>
      <c r="H169" s="150">
        <f t="shared" si="61"/>
        <v>0</v>
      </c>
      <c r="I169" s="80">
        <f t="shared" si="62"/>
        <v>0</v>
      </c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idden="1">
      <c r="A170" s="146" t="s">
        <v>93</v>
      </c>
      <c r="B170" s="148"/>
      <c r="C170" s="189"/>
      <c r="D170" s="146">
        <f t="shared" si="58"/>
        <v>0.0055518</v>
      </c>
      <c r="E170" s="146">
        <f t="shared" si="59"/>
        <v>0.0001279</v>
      </c>
      <c r="F170" s="146"/>
      <c r="G170" s="146">
        <f t="shared" si="60"/>
        <v>0</v>
      </c>
      <c r="H170" s="150">
        <f t="shared" si="61"/>
        <v>0</v>
      </c>
      <c r="I170" s="80">
        <f t="shared" si="62"/>
        <v>0</v>
      </c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idden="1">
      <c r="A171" s="146" t="s">
        <v>105</v>
      </c>
      <c r="B171" s="148"/>
      <c r="C171" s="189"/>
      <c r="D171" s="146">
        <f t="shared" si="58"/>
        <v>0.0055518</v>
      </c>
      <c r="E171" s="146">
        <f t="shared" si="59"/>
        <v>0.0001279</v>
      </c>
      <c r="F171" s="146"/>
      <c r="G171" s="146">
        <f t="shared" si="60"/>
        <v>0</v>
      </c>
      <c r="H171" s="150">
        <f t="shared" si="61"/>
        <v>0</v>
      </c>
      <c r="I171" s="80">
        <f t="shared" si="62"/>
        <v>0</v>
      </c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idden="1">
      <c r="A172" s="146" t="s">
        <v>185</v>
      </c>
      <c r="B172" s="148"/>
      <c r="C172" s="189"/>
      <c r="D172" s="146">
        <f t="shared" si="58"/>
        <v>0.0055518</v>
      </c>
      <c r="E172" s="146">
        <f t="shared" si="59"/>
        <v>0.0001279</v>
      </c>
      <c r="F172" s="146"/>
      <c r="G172" s="146">
        <f t="shared" si="60"/>
        <v>0</v>
      </c>
      <c r="H172" s="150">
        <f t="shared" si="61"/>
        <v>0</v>
      </c>
      <c r="I172" s="80">
        <f t="shared" si="62"/>
        <v>0</v>
      </c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idden="1">
      <c r="A173" s="146" t="s">
        <v>231</v>
      </c>
      <c r="B173" s="148"/>
      <c r="C173" s="189"/>
      <c r="D173" s="146">
        <f t="shared" si="58"/>
        <v>0.0055518</v>
      </c>
      <c r="E173" s="146">
        <f t="shared" si="59"/>
        <v>0.0001279</v>
      </c>
      <c r="F173" s="146"/>
      <c r="G173" s="146">
        <f t="shared" si="60"/>
        <v>0</v>
      </c>
      <c r="H173" s="150">
        <f t="shared" si="61"/>
        <v>0</v>
      </c>
      <c r="I173" s="80">
        <f t="shared" si="62"/>
        <v>0</v>
      </c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idden="1">
      <c r="A174" s="146" t="s">
        <v>233</v>
      </c>
      <c r="B174" s="148"/>
      <c r="C174" s="189"/>
      <c r="D174" s="146">
        <f t="shared" si="58"/>
        <v>0.0055518</v>
      </c>
      <c r="E174" s="146">
        <f t="shared" si="59"/>
        <v>0.0001279</v>
      </c>
      <c r="F174" s="146"/>
      <c r="G174" s="146">
        <f t="shared" si="60"/>
        <v>0</v>
      </c>
      <c r="H174" s="150">
        <f t="shared" si="61"/>
        <v>0</v>
      </c>
      <c r="I174" s="80">
        <f t="shared" si="62"/>
        <v>0</v>
      </c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idden="1">
      <c r="A175" s="146" t="s">
        <v>235</v>
      </c>
      <c r="B175" s="148"/>
      <c r="C175" s="189"/>
      <c r="D175" s="146">
        <f t="shared" si="58"/>
        <v>0.0055518</v>
      </c>
      <c r="E175" s="146">
        <f t="shared" si="59"/>
        <v>0.0001279</v>
      </c>
      <c r="F175" s="146"/>
      <c r="G175" s="146">
        <f t="shared" si="60"/>
        <v>0</v>
      </c>
      <c r="H175" s="150">
        <f t="shared" si="61"/>
        <v>0</v>
      </c>
      <c r="I175" s="80">
        <f t="shared" si="62"/>
        <v>0</v>
      </c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idden="1">
      <c r="A176" s="139"/>
      <c r="B176" s="139"/>
      <c r="C176" s="139"/>
      <c r="D176" s="139"/>
      <c r="E176" s="139"/>
      <c r="F176" s="139"/>
      <c r="G176" s="139"/>
      <c r="H176" s="139"/>
      <c r="I176" s="70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idden="1">
      <c r="A177" s="140" t="s">
        <v>251</v>
      </c>
      <c r="B177" s="140" t="s">
        <v>44</v>
      </c>
      <c r="C177" s="140" t="s">
        <v>45</v>
      </c>
      <c r="D177" s="140" t="s">
        <v>46</v>
      </c>
      <c r="E177" s="140" t="s">
        <v>49</v>
      </c>
      <c r="F177" s="140" t="s">
        <v>51</v>
      </c>
      <c r="G177" s="140" t="s">
        <v>178</v>
      </c>
      <c r="H177" s="140" t="s">
        <v>179</v>
      </c>
      <c r="I177" s="144" t="s">
        <v>180</v>
      </c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idden="1">
      <c r="A178" s="146" t="s">
        <v>177</v>
      </c>
      <c r="B178" s="148"/>
      <c r="C178" s="189"/>
      <c r="D178" s="146">
        <f t="shared" ref="D178:D186" si="63">5.5518*10^-3</f>
        <v>0.0055518</v>
      </c>
      <c r="E178" s="146">
        <f t="shared" ref="E178:E186" si="64">0.1279*10^-3</f>
        <v>0.0001279</v>
      </c>
      <c r="F178" s="146"/>
      <c r="G178" s="146">
        <f t="shared" ref="G178:G186" si="65">2*B178*C178*(D178*F178+E178*SIN(ACOS(F178)))</f>
        <v>0</v>
      </c>
      <c r="H178" s="150">
        <f t="shared" ref="H178:H186" si="66">G178/220</f>
        <v>0</v>
      </c>
      <c r="I178" s="80">
        <f>H178</f>
        <v>0</v>
      </c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idden="1">
      <c r="A179" s="146" t="s">
        <v>81</v>
      </c>
      <c r="B179" s="148"/>
      <c r="C179" s="189"/>
      <c r="D179" s="146">
        <f t="shared" si="63"/>
        <v>0.0055518</v>
      </c>
      <c r="E179" s="146">
        <f t="shared" si="64"/>
        <v>0.0001279</v>
      </c>
      <c r="F179" s="146"/>
      <c r="G179" s="146">
        <f t="shared" si="65"/>
        <v>0</v>
      </c>
      <c r="H179" s="150">
        <f t="shared" si="66"/>
        <v>0</v>
      </c>
      <c r="I179" s="80">
        <f t="shared" ref="I179:I186" si="67">I178+H179</f>
        <v>0</v>
      </c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idden="1">
      <c r="A180" s="146" t="s">
        <v>88</v>
      </c>
      <c r="B180" s="148"/>
      <c r="C180" s="189"/>
      <c r="D180" s="146">
        <f t="shared" si="63"/>
        <v>0.0055518</v>
      </c>
      <c r="E180" s="146">
        <f t="shared" si="64"/>
        <v>0.0001279</v>
      </c>
      <c r="F180" s="146"/>
      <c r="G180" s="146">
        <f t="shared" si="65"/>
        <v>0</v>
      </c>
      <c r="H180" s="150">
        <f t="shared" si="66"/>
        <v>0</v>
      </c>
      <c r="I180" s="80">
        <f t="shared" si="67"/>
        <v>0</v>
      </c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idden="1">
      <c r="A181" s="146" t="s">
        <v>93</v>
      </c>
      <c r="B181" s="148"/>
      <c r="C181" s="189"/>
      <c r="D181" s="146">
        <f t="shared" si="63"/>
        <v>0.0055518</v>
      </c>
      <c r="E181" s="146">
        <f t="shared" si="64"/>
        <v>0.0001279</v>
      </c>
      <c r="F181" s="146"/>
      <c r="G181" s="146">
        <f t="shared" si="65"/>
        <v>0</v>
      </c>
      <c r="H181" s="150">
        <f t="shared" si="66"/>
        <v>0</v>
      </c>
      <c r="I181" s="80">
        <f t="shared" si="67"/>
        <v>0</v>
      </c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idden="1">
      <c r="A182" s="146" t="s">
        <v>105</v>
      </c>
      <c r="B182" s="148"/>
      <c r="C182" s="189"/>
      <c r="D182" s="146">
        <f t="shared" si="63"/>
        <v>0.0055518</v>
      </c>
      <c r="E182" s="146">
        <f t="shared" si="64"/>
        <v>0.0001279</v>
      </c>
      <c r="F182" s="146"/>
      <c r="G182" s="146">
        <f t="shared" si="65"/>
        <v>0</v>
      </c>
      <c r="H182" s="150">
        <f t="shared" si="66"/>
        <v>0</v>
      </c>
      <c r="I182" s="80">
        <f t="shared" si="67"/>
        <v>0</v>
      </c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idden="1">
      <c r="A183" s="146" t="s">
        <v>185</v>
      </c>
      <c r="B183" s="148"/>
      <c r="C183" s="189"/>
      <c r="D183" s="146">
        <f t="shared" si="63"/>
        <v>0.0055518</v>
      </c>
      <c r="E183" s="146">
        <f t="shared" si="64"/>
        <v>0.0001279</v>
      </c>
      <c r="F183" s="146"/>
      <c r="G183" s="146">
        <f t="shared" si="65"/>
        <v>0</v>
      </c>
      <c r="H183" s="150">
        <f t="shared" si="66"/>
        <v>0</v>
      </c>
      <c r="I183" s="80">
        <f t="shared" si="67"/>
        <v>0</v>
      </c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idden="1">
      <c r="A184" s="146" t="s">
        <v>231</v>
      </c>
      <c r="B184" s="148"/>
      <c r="C184" s="189"/>
      <c r="D184" s="146">
        <f t="shared" si="63"/>
        <v>0.0055518</v>
      </c>
      <c r="E184" s="146">
        <f t="shared" si="64"/>
        <v>0.0001279</v>
      </c>
      <c r="F184" s="146"/>
      <c r="G184" s="146">
        <f t="shared" si="65"/>
        <v>0</v>
      </c>
      <c r="H184" s="150">
        <f t="shared" si="66"/>
        <v>0</v>
      </c>
      <c r="I184" s="80">
        <f t="shared" si="67"/>
        <v>0</v>
      </c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idden="1">
      <c r="A185" s="146" t="s">
        <v>233</v>
      </c>
      <c r="B185" s="148"/>
      <c r="C185" s="189"/>
      <c r="D185" s="146">
        <f t="shared" si="63"/>
        <v>0.0055518</v>
      </c>
      <c r="E185" s="146">
        <f t="shared" si="64"/>
        <v>0.0001279</v>
      </c>
      <c r="F185" s="146"/>
      <c r="G185" s="146">
        <f t="shared" si="65"/>
        <v>0</v>
      </c>
      <c r="H185" s="150">
        <f t="shared" si="66"/>
        <v>0</v>
      </c>
      <c r="I185" s="80">
        <f t="shared" si="67"/>
        <v>0</v>
      </c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idden="1">
      <c r="A186" s="146" t="s">
        <v>235</v>
      </c>
      <c r="B186" s="148"/>
      <c r="C186" s="189"/>
      <c r="D186" s="146">
        <f t="shared" si="63"/>
        <v>0.0055518</v>
      </c>
      <c r="E186" s="146">
        <f t="shared" si="64"/>
        <v>0.0001279</v>
      </c>
      <c r="F186" s="146"/>
      <c r="G186" s="146">
        <f t="shared" si="65"/>
        <v>0</v>
      </c>
      <c r="H186" s="150">
        <f t="shared" si="66"/>
        <v>0</v>
      </c>
      <c r="I186" s="80">
        <f t="shared" si="67"/>
        <v>0</v>
      </c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idden="1">
      <c r="A187" s="139"/>
      <c r="B187" s="139"/>
      <c r="C187" s="139"/>
      <c r="D187" s="139"/>
      <c r="E187" s="139"/>
      <c r="F187" s="139"/>
      <c r="G187" s="139"/>
      <c r="H187" s="139"/>
      <c r="I187" s="70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idden="1">
      <c r="A188" s="139"/>
      <c r="B188" s="139"/>
      <c r="C188" s="139"/>
      <c r="D188" s="139"/>
      <c r="E188" s="139"/>
      <c r="F188" s="139"/>
      <c r="G188" s="139"/>
      <c r="H188" s="139"/>
      <c r="I188" s="70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idden="1">
      <c r="A189" s="139"/>
      <c r="B189" s="131" t="s">
        <v>164</v>
      </c>
      <c r="C189" s="139"/>
      <c r="D189" s="139"/>
      <c r="E189" s="139"/>
      <c r="F189" s="139"/>
      <c r="G189" s="139"/>
      <c r="H189" s="139"/>
      <c r="I189" s="70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idden="1">
      <c r="A190" s="140" t="s">
        <v>252</v>
      </c>
      <c r="B190" s="140" t="s">
        <v>44</v>
      </c>
      <c r="C190" s="140" t="s">
        <v>45</v>
      </c>
      <c r="D190" s="140" t="s">
        <v>46</v>
      </c>
      <c r="E190" s="140" t="s">
        <v>49</v>
      </c>
      <c r="F190" s="140" t="s">
        <v>51</v>
      </c>
      <c r="G190" s="140" t="s">
        <v>178</v>
      </c>
      <c r="H190" s="140" t="s">
        <v>179</v>
      </c>
      <c r="I190" s="144" t="s">
        <v>180</v>
      </c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idden="1">
      <c r="A191" s="146" t="s">
        <v>177</v>
      </c>
      <c r="B191" s="151"/>
      <c r="C191" s="189"/>
      <c r="D191" s="146">
        <f t="shared" ref="D191:D196" si="68">8.8882*10^-3</f>
        <v>0.0088882</v>
      </c>
      <c r="E191" s="146">
        <f t="shared" ref="E191:E196" si="69">0.1345*10^-3</f>
        <v>0.0001345</v>
      </c>
      <c r="F191" s="146"/>
      <c r="G191" s="146">
        <f t="shared" ref="G191:G196" si="70">2*B191*C191*(D191*F191+E191*SIN(ACOS(F191)))</f>
        <v>0</v>
      </c>
      <c r="H191" s="150">
        <f t="shared" ref="H191:H196" si="71">G191/220</f>
        <v>0</v>
      </c>
      <c r="I191" s="80">
        <f>H191</f>
        <v>0</v>
      </c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idden="1">
      <c r="A192" s="146" t="s">
        <v>81</v>
      </c>
      <c r="B192" s="151"/>
      <c r="C192" s="189"/>
      <c r="D192" s="146">
        <f t="shared" si="68"/>
        <v>0.0088882</v>
      </c>
      <c r="E192" s="146">
        <f t="shared" si="69"/>
        <v>0.0001345</v>
      </c>
      <c r="F192" s="146"/>
      <c r="G192" s="146">
        <f t="shared" si="70"/>
        <v>0</v>
      </c>
      <c r="H192" s="150">
        <f t="shared" si="71"/>
        <v>0</v>
      </c>
      <c r="I192" s="80">
        <f t="shared" ref="I192:I196" si="72">I191+H192</f>
        <v>0</v>
      </c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idden="1">
      <c r="A193" s="146" t="s">
        <v>88</v>
      </c>
      <c r="B193" s="151"/>
      <c r="C193" s="189"/>
      <c r="D193" s="146">
        <f t="shared" si="68"/>
        <v>0.0088882</v>
      </c>
      <c r="E193" s="146">
        <f t="shared" si="69"/>
        <v>0.0001345</v>
      </c>
      <c r="F193" s="146"/>
      <c r="G193" s="146">
        <f t="shared" si="70"/>
        <v>0</v>
      </c>
      <c r="H193" s="150">
        <f t="shared" si="71"/>
        <v>0</v>
      </c>
      <c r="I193" s="80">
        <f t="shared" si="72"/>
        <v>0</v>
      </c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idden="1">
      <c r="A194" s="146" t="s">
        <v>93</v>
      </c>
      <c r="B194" s="151"/>
      <c r="C194" s="189"/>
      <c r="D194" s="146">
        <f t="shared" si="68"/>
        <v>0.0088882</v>
      </c>
      <c r="E194" s="146">
        <f t="shared" si="69"/>
        <v>0.0001345</v>
      </c>
      <c r="F194" s="146"/>
      <c r="G194" s="146">
        <f t="shared" si="70"/>
        <v>0</v>
      </c>
      <c r="H194" s="150">
        <f t="shared" si="71"/>
        <v>0</v>
      </c>
      <c r="I194" s="80">
        <f t="shared" si="72"/>
        <v>0</v>
      </c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idden="1">
      <c r="A195" s="209" t="s">
        <v>105</v>
      </c>
      <c r="B195" s="210"/>
      <c r="C195" s="211"/>
      <c r="D195" s="146">
        <f t="shared" si="68"/>
        <v>0.0088882</v>
      </c>
      <c r="E195" s="146">
        <f t="shared" si="69"/>
        <v>0.0001345</v>
      </c>
      <c r="F195" s="146"/>
      <c r="G195" s="146">
        <f t="shared" si="70"/>
        <v>0</v>
      </c>
      <c r="H195" s="150">
        <f t="shared" si="71"/>
        <v>0</v>
      </c>
      <c r="I195" s="80">
        <f t="shared" si="72"/>
        <v>0</v>
      </c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idden="1">
      <c r="A196" s="212" t="s">
        <v>130</v>
      </c>
      <c r="B196" s="213"/>
      <c r="C196" s="212"/>
      <c r="D196" s="212">
        <f t="shared" si="68"/>
        <v>0.0088882</v>
      </c>
      <c r="E196" s="212">
        <f t="shared" si="69"/>
        <v>0.0001345</v>
      </c>
      <c r="F196" s="212"/>
      <c r="G196" s="146">
        <f t="shared" si="70"/>
        <v>0</v>
      </c>
      <c r="H196" s="150">
        <f t="shared" si="71"/>
        <v>0</v>
      </c>
      <c r="I196" s="80">
        <f t="shared" si="72"/>
        <v>0</v>
      </c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96" t="s">
        <v>253</v>
      </c>
      <c r="B197" s="2"/>
      <c r="C197" s="2"/>
      <c r="D197" s="2"/>
      <c r="E197" s="2"/>
      <c r="F197" s="3"/>
      <c r="G197" s="139"/>
      <c r="H197" s="139"/>
      <c r="I197" s="70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97" t="s">
        <v>22</v>
      </c>
      <c r="B198" s="97" t="s">
        <v>24</v>
      </c>
      <c r="C198" s="123" t="s">
        <v>254</v>
      </c>
      <c r="D198" s="123" t="s">
        <v>255</v>
      </c>
      <c r="E198" s="123" t="s">
        <v>32</v>
      </c>
      <c r="F198" s="123" t="s">
        <v>256</v>
      </c>
      <c r="G198" s="139"/>
      <c r="I198" s="70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100" t="s">
        <v>38</v>
      </c>
      <c r="B199" s="41" t="s">
        <v>39</v>
      </c>
      <c r="C199" s="49">
        <f t="shared" ref="C199:C220" si="73">K28</f>
        <v>20.01</v>
      </c>
      <c r="D199" s="45">
        <v>10.0</v>
      </c>
      <c r="E199" s="49">
        <f t="shared" ref="E199:E220" si="74">H28</f>
        <v>6.136363636</v>
      </c>
      <c r="F199" s="41" t="str">
        <f t="shared" ref="F199:F220" si="75">IF(AND(C199&gt;D199,D199&gt;E199),"OK","MUDAR DISJUNTOR")</f>
        <v>OK</v>
      </c>
      <c r="G199" s="139"/>
      <c r="H199" s="4"/>
      <c r="I199" s="122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100" t="s">
        <v>47</v>
      </c>
      <c r="B200" s="41" t="s">
        <v>48</v>
      </c>
      <c r="C200" s="49">
        <f t="shared" si="73"/>
        <v>20.01</v>
      </c>
      <c r="D200" s="65">
        <v>10.0</v>
      </c>
      <c r="E200" s="49">
        <f t="shared" si="74"/>
        <v>5.272727273</v>
      </c>
      <c r="F200" s="41" t="str">
        <f t="shared" si="75"/>
        <v>OK</v>
      </c>
      <c r="G200" s="139"/>
      <c r="H200" s="4"/>
      <c r="I200" s="122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100" t="s">
        <v>59</v>
      </c>
      <c r="B201" s="41" t="s">
        <v>60</v>
      </c>
      <c r="C201" s="49">
        <f t="shared" si="73"/>
        <v>20.01</v>
      </c>
      <c r="D201" s="65">
        <v>10.0</v>
      </c>
      <c r="E201" s="49">
        <f t="shared" si="74"/>
        <v>7.909090909</v>
      </c>
      <c r="F201" s="41" t="str">
        <f t="shared" si="75"/>
        <v>OK</v>
      </c>
      <c r="G201" s="139"/>
      <c r="H201" s="4"/>
      <c r="I201" s="122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100" t="s">
        <v>63</v>
      </c>
      <c r="B202" s="41" t="s">
        <v>64</v>
      </c>
      <c r="C202" s="49">
        <f t="shared" si="73"/>
        <v>20.01</v>
      </c>
      <c r="D202" s="65">
        <v>10.0</v>
      </c>
      <c r="E202" s="49">
        <f t="shared" si="74"/>
        <v>7.909090909</v>
      </c>
      <c r="F202" s="41" t="str">
        <f t="shared" si="75"/>
        <v>OK</v>
      </c>
      <c r="G202" s="139"/>
      <c r="H202" s="4"/>
      <c r="I202" s="122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112" t="s">
        <v>66</v>
      </c>
      <c r="B203" s="41" t="s">
        <v>67</v>
      </c>
      <c r="C203" s="49">
        <f t="shared" si="73"/>
        <v>31.3896</v>
      </c>
      <c r="D203" s="45">
        <v>25.0</v>
      </c>
      <c r="E203" s="49">
        <f t="shared" si="74"/>
        <v>20</v>
      </c>
      <c r="F203" s="41" t="str">
        <f t="shared" si="75"/>
        <v>OK</v>
      </c>
      <c r="G203" s="139"/>
      <c r="H203" s="4"/>
      <c r="I203" s="122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34"/>
      <c r="B204" s="41" t="s">
        <v>70</v>
      </c>
      <c r="C204" s="49">
        <f t="shared" si="73"/>
        <v>31.3896</v>
      </c>
      <c r="D204" s="45">
        <v>25.0</v>
      </c>
      <c r="E204" s="49">
        <f t="shared" si="74"/>
        <v>20</v>
      </c>
      <c r="F204" s="41" t="str">
        <f t="shared" si="75"/>
        <v>OK</v>
      </c>
      <c r="G204" s="139"/>
      <c r="H204" s="4"/>
      <c r="I204" s="122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34"/>
      <c r="B205" s="41" t="s">
        <v>71</v>
      </c>
      <c r="C205" s="49">
        <f t="shared" si="73"/>
        <v>31.3896</v>
      </c>
      <c r="D205" s="45">
        <v>25.0</v>
      </c>
      <c r="E205" s="49">
        <f t="shared" si="74"/>
        <v>20</v>
      </c>
      <c r="F205" s="41" t="str">
        <f t="shared" si="75"/>
        <v>OK</v>
      </c>
      <c r="G205" s="139"/>
      <c r="H205" s="4"/>
      <c r="I205" s="122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34"/>
      <c r="B206" s="41" t="s">
        <v>72</v>
      </c>
      <c r="C206" s="49">
        <f t="shared" si="73"/>
        <v>31.3896</v>
      </c>
      <c r="D206" s="45">
        <v>25.0</v>
      </c>
      <c r="E206" s="49">
        <f t="shared" si="74"/>
        <v>20</v>
      </c>
      <c r="F206" s="41" t="str">
        <f t="shared" si="75"/>
        <v>OK</v>
      </c>
      <c r="G206" s="139"/>
      <c r="H206" s="4"/>
      <c r="I206" s="122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34"/>
      <c r="B207" s="41" t="s">
        <v>73</v>
      </c>
      <c r="C207" s="49">
        <f t="shared" si="73"/>
        <v>31.3896</v>
      </c>
      <c r="D207" s="45">
        <v>25.0</v>
      </c>
      <c r="E207" s="49">
        <f t="shared" si="74"/>
        <v>20</v>
      </c>
      <c r="F207" s="41" t="str">
        <f t="shared" si="75"/>
        <v>OK</v>
      </c>
      <c r="G207" s="139"/>
      <c r="H207" s="4"/>
      <c r="I207" s="122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34"/>
      <c r="B208" s="41" t="s">
        <v>74</v>
      </c>
      <c r="C208" s="49">
        <f t="shared" si="73"/>
        <v>31.3896</v>
      </c>
      <c r="D208" s="45">
        <v>25.0</v>
      </c>
      <c r="E208" s="49">
        <f t="shared" si="74"/>
        <v>20</v>
      </c>
      <c r="F208" s="41" t="str">
        <f t="shared" si="75"/>
        <v>OK</v>
      </c>
      <c r="G208" s="139"/>
      <c r="H208" s="4"/>
      <c r="I208" s="122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34"/>
      <c r="B209" s="41" t="s">
        <v>75</v>
      </c>
      <c r="C209" s="49">
        <f t="shared" si="73"/>
        <v>31.3896</v>
      </c>
      <c r="D209" s="45">
        <v>25.0</v>
      </c>
      <c r="E209" s="49">
        <f t="shared" si="74"/>
        <v>20</v>
      </c>
      <c r="F209" s="41" t="str">
        <f t="shared" si="75"/>
        <v>OK</v>
      </c>
      <c r="G209" s="139"/>
      <c r="H209" s="4"/>
      <c r="I209" s="122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34"/>
      <c r="B210" s="41" t="s">
        <v>77</v>
      </c>
      <c r="C210" s="49">
        <f t="shared" si="73"/>
        <v>31.3896</v>
      </c>
      <c r="D210" s="45">
        <v>25.0</v>
      </c>
      <c r="E210" s="49">
        <f t="shared" si="74"/>
        <v>20</v>
      </c>
      <c r="F210" s="41" t="str">
        <f t="shared" si="75"/>
        <v>OK</v>
      </c>
      <c r="G210" s="139"/>
      <c r="H210" s="4"/>
      <c r="I210" s="122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34"/>
      <c r="B211" s="41" t="s">
        <v>79</v>
      </c>
      <c r="C211" s="49">
        <f t="shared" si="73"/>
        <v>31.3896</v>
      </c>
      <c r="D211" s="45">
        <v>25.0</v>
      </c>
      <c r="E211" s="49">
        <f t="shared" si="74"/>
        <v>20</v>
      </c>
      <c r="F211" s="41" t="str">
        <f t="shared" si="75"/>
        <v>OK</v>
      </c>
      <c r="G211" s="139"/>
      <c r="H211" s="4"/>
      <c r="I211" s="122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34"/>
      <c r="B212" s="41" t="s">
        <v>80</v>
      </c>
      <c r="C212" s="49">
        <f t="shared" si="73"/>
        <v>31.3896</v>
      </c>
      <c r="D212" s="45">
        <v>25.0</v>
      </c>
      <c r="E212" s="49">
        <f t="shared" si="74"/>
        <v>20</v>
      </c>
      <c r="F212" s="41" t="str">
        <f t="shared" si="75"/>
        <v>OK</v>
      </c>
      <c r="G212" s="139"/>
      <c r="H212" s="4"/>
      <c r="I212" s="122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34"/>
      <c r="B213" s="41" t="s">
        <v>82</v>
      </c>
      <c r="C213" s="49">
        <f t="shared" si="73"/>
        <v>31.3896</v>
      </c>
      <c r="D213" s="45">
        <v>25.0</v>
      </c>
      <c r="E213" s="49">
        <f t="shared" si="74"/>
        <v>20</v>
      </c>
      <c r="F213" s="41" t="str">
        <f t="shared" si="75"/>
        <v>OK</v>
      </c>
      <c r="G213" s="139"/>
      <c r="H213" s="4"/>
      <c r="I213" s="122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34"/>
      <c r="B214" s="41" t="s">
        <v>84</v>
      </c>
      <c r="C214" s="49">
        <f t="shared" si="73"/>
        <v>31.3896</v>
      </c>
      <c r="D214" s="45">
        <v>16.0</v>
      </c>
      <c r="E214" s="49">
        <f t="shared" si="74"/>
        <v>12</v>
      </c>
      <c r="F214" s="41" t="str">
        <f t="shared" si="75"/>
        <v>OK</v>
      </c>
      <c r="G214" s="139"/>
      <c r="H214" s="4"/>
      <c r="I214" s="122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34"/>
      <c r="B215" s="41" t="s">
        <v>85</v>
      </c>
      <c r="C215" s="49">
        <f t="shared" si="73"/>
        <v>23.7336</v>
      </c>
      <c r="D215" s="65">
        <v>16.0</v>
      </c>
      <c r="E215" s="49">
        <f t="shared" si="74"/>
        <v>10.54545455</v>
      </c>
      <c r="F215" s="41" t="str">
        <f t="shared" si="75"/>
        <v>OK</v>
      </c>
      <c r="G215" s="139"/>
      <c r="H215" s="4"/>
      <c r="I215" s="122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0"/>
      <c r="B216" s="41" t="s">
        <v>87</v>
      </c>
      <c r="C216" s="49">
        <f t="shared" si="73"/>
        <v>23.7336</v>
      </c>
      <c r="D216" s="65">
        <v>16.0</v>
      </c>
      <c r="E216" s="49">
        <f t="shared" si="74"/>
        <v>10.54545455</v>
      </c>
      <c r="F216" s="41" t="str">
        <f t="shared" si="75"/>
        <v>OK</v>
      </c>
      <c r="G216" s="139"/>
      <c r="H216" s="4"/>
      <c r="I216" s="122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100" t="s">
        <v>90</v>
      </c>
      <c r="B217" s="41" t="s">
        <v>91</v>
      </c>
      <c r="C217" s="49">
        <f t="shared" si="73"/>
        <v>13.825</v>
      </c>
      <c r="D217" s="45">
        <v>6.0</v>
      </c>
      <c r="E217" s="49">
        <f t="shared" si="74"/>
        <v>1.636363636</v>
      </c>
      <c r="F217" s="41" t="str">
        <f t="shared" si="75"/>
        <v>OK</v>
      </c>
      <c r="G217" s="139"/>
      <c r="H217" s="4"/>
      <c r="I217" s="122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112" t="s">
        <v>94</v>
      </c>
      <c r="B218" s="41" t="s">
        <v>95</v>
      </c>
      <c r="C218" s="49">
        <f t="shared" si="73"/>
        <v>11.06</v>
      </c>
      <c r="D218" s="45">
        <v>6.0</v>
      </c>
      <c r="E218" s="49">
        <f t="shared" si="74"/>
        <v>2.454545455</v>
      </c>
      <c r="F218" s="41" t="str">
        <f t="shared" si="75"/>
        <v>OK</v>
      </c>
      <c r="G218" s="139"/>
      <c r="H218" s="4"/>
      <c r="I218" s="122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0"/>
      <c r="B219" s="41" t="s">
        <v>98</v>
      </c>
      <c r="C219" s="49">
        <f t="shared" si="73"/>
        <v>11.06</v>
      </c>
      <c r="D219" s="45">
        <v>10.0</v>
      </c>
      <c r="E219" s="49">
        <f t="shared" si="74"/>
        <v>6.545454545</v>
      </c>
      <c r="F219" s="41" t="str">
        <f t="shared" si="75"/>
        <v>OK</v>
      </c>
      <c r="G219" s="139"/>
      <c r="H219" s="4"/>
      <c r="I219" s="122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100" t="s">
        <v>100</v>
      </c>
      <c r="B220" s="41" t="s">
        <v>101</v>
      </c>
      <c r="C220" s="49">
        <f t="shared" si="73"/>
        <v>13.825</v>
      </c>
      <c r="D220" s="45">
        <v>6.0</v>
      </c>
      <c r="E220" s="49">
        <f t="shared" si="74"/>
        <v>0.8181818182</v>
      </c>
      <c r="F220" s="41" t="str">
        <f t="shared" si="75"/>
        <v>OK</v>
      </c>
      <c r="G220" s="139"/>
      <c r="H220" s="4"/>
      <c r="I220" s="122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122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122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122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122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122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122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122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122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122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122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122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122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122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122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122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122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122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122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122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122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122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122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122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122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122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122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122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122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122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122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122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122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122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122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122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122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122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122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122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122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122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122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122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122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122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122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122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122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122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122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122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122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122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122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122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122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122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122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122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122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122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122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122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122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122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122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122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122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122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122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122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122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122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122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122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122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122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122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122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122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122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122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122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122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122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122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122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122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122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122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122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122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122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122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122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122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122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122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122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122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122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122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122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122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122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122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122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122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122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122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122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122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122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122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122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122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122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122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122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122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122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122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122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122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122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122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122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122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122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122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122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122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122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122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122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122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122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122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122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122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122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122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122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122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122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122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122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122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122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122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122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122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122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122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122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122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122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122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122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122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122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122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122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122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122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122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122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122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122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122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122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122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122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122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122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122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122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122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122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122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122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122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</sheetData>
  <mergeCells count="14">
    <mergeCell ref="A57:A70"/>
    <mergeCell ref="G70:I70"/>
    <mergeCell ref="A72:A73"/>
    <mergeCell ref="A77:C77"/>
    <mergeCell ref="A197:F197"/>
    <mergeCell ref="A203:A216"/>
    <mergeCell ref="A218:A219"/>
    <mergeCell ref="A1:K1"/>
    <mergeCell ref="A7:A20"/>
    <mergeCell ref="A22:A23"/>
    <mergeCell ref="A26:K26"/>
    <mergeCell ref="A32:A45"/>
    <mergeCell ref="A47:A48"/>
    <mergeCell ref="A51:E51"/>
  </mergeCells>
  <dataValidations>
    <dataValidation type="list" allowBlank="1" showErrorMessage="1" sqref="G28:G49">
      <formula1>"EPR ou XLPE,PVC"</formula1>
    </dataValidation>
  </dataValidations>
  <printOptions/>
  <pageMargins bottom="0.787401575" footer="0.0" header="0.0" left="0.511811024" right="0.511811024" top="0.787401575"/>
  <pageSetup orientation="landscape"/>
  <drawing r:id="rId1"/>
  <tableParts count="12"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1.22" defaultRowHeight="15.0"/>
  <cols>
    <col customWidth="1" min="3" max="3" width="11.11"/>
    <col customWidth="1" min="4" max="5" width="8.78"/>
    <col customWidth="1" min="11" max="11" width="13.67"/>
    <col customWidth="1" min="15" max="15" width="10.22"/>
    <col customWidth="1" min="16" max="16" width="10.33"/>
    <col customWidth="1" min="17" max="17" width="11.11"/>
    <col customWidth="1" min="18" max="18" width="12.33"/>
    <col customWidth="1" min="19" max="19" width="7.22"/>
    <col customWidth="1" min="20" max="20" width="6.0"/>
  </cols>
  <sheetData>
    <row r="1" ht="15.75" customHeight="1">
      <c r="A1" s="24" t="s">
        <v>16</v>
      </c>
      <c r="B1" s="4">
        <v>220.0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U1" s="4"/>
      <c r="V1" s="4"/>
      <c r="W1" s="4"/>
    </row>
    <row r="2">
      <c r="A2" s="30" t="s">
        <v>23</v>
      </c>
      <c r="B2" s="33">
        <f>QDL!$H$3</f>
        <v>270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>
      <c r="A3" s="30" t="s">
        <v>37</v>
      </c>
      <c r="B3" s="38">
        <f>QDL!$G$3</f>
        <v>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3" t="s">
        <v>41</v>
      </c>
      <c r="P3" s="2"/>
      <c r="Q3" s="2"/>
      <c r="R3" s="2"/>
      <c r="S3" s="2"/>
      <c r="T3" s="3"/>
      <c r="U3" s="4"/>
      <c r="V3" s="4"/>
      <c r="W3" s="4"/>
    </row>
    <row r="4" ht="15.75" customHeight="1">
      <c r="A4" s="46" t="s">
        <v>2</v>
      </c>
      <c r="B4" s="47"/>
      <c r="C4" s="47"/>
      <c r="D4" s="47"/>
      <c r="E4" s="47"/>
      <c r="F4" s="47"/>
      <c r="G4" s="47"/>
      <c r="H4" s="47"/>
      <c r="I4" s="47"/>
      <c r="J4" s="4"/>
      <c r="K4" s="4"/>
      <c r="L4" s="4"/>
      <c r="M4" s="4"/>
      <c r="N4" s="4"/>
      <c r="O4" s="48" t="s">
        <v>2</v>
      </c>
      <c r="P4" s="2"/>
      <c r="Q4" s="2"/>
      <c r="R4" s="2"/>
      <c r="S4" s="2"/>
      <c r="T4" s="3"/>
      <c r="U4" s="4"/>
      <c r="V4" s="4"/>
      <c r="W4" s="4"/>
    </row>
    <row r="5" ht="15.75" customHeight="1">
      <c r="A5" s="52" t="s">
        <v>43</v>
      </c>
      <c r="B5" s="52" t="s">
        <v>44</v>
      </c>
      <c r="C5" s="52" t="s">
        <v>45</v>
      </c>
      <c r="D5" s="52" t="s">
        <v>46</v>
      </c>
      <c r="E5" s="52" t="s">
        <v>49</v>
      </c>
      <c r="F5" s="52" t="s">
        <v>51</v>
      </c>
      <c r="G5" s="52" t="s">
        <v>52</v>
      </c>
      <c r="H5" s="52" t="s">
        <v>53</v>
      </c>
      <c r="I5" s="52" t="s">
        <v>54</v>
      </c>
      <c r="J5" s="4"/>
      <c r="K5" s="57" t="s">
        <v>55</v>
      </c>
      <c r="L5" s="57" t="s">
        <v>56</v>
      </c>
      <c r="M5" s="57" t="s">
        <v>57</v>
      </c>
      <c r="N5" s="4"/>
      <c r="O5" s="59" t="s">
        <v>43</v>
      </c>
      <c r="P5" s="59" t="s">
        <v>32</v>
      </c>
      <c r="Q5" s="59" t="s">
        <v>45</v>
      </c>
      <c r="R5" s="59" t="s">
        <v>58</v>
      </c>
      <c r="S5" s="59" t="s">
        <v>53</v>
      </c>
      <c r="T5" s="59" t="s">
        <v>54</v>
      </c>
      <c r="U5" s="4"/>
      <c r="V5" s="4"/>
      <c r="W5" s="4"/>
    </row>
    <row r="6" ht="15.75" customHeight="1">
      <c r="A6" s="62" t="s">
        <v>62</v>
      </c>
      <c r="B6" s="64">
        <f>($B$2*5)/$B$1</f>
        <v>6.136363636</v>
      </c>
      <c r="C6" s="66">
        <f t="shared" ref="C6:C10" si="2">K6+(L6*1.5)+M6</f>
        <v>8.0577</v>
      </c>
      <c r="D6" s="62">
        <f t="shared" ref="D6:D10" si="3">14.8137*10^-3</f>
        <v>0.0148137</v>
      </c>
      <c r="E6" s="62">
        <f t="shared" ref="E6:E10" si="4">0.1378*10^-3</f>
        <v>0.0001378</v>
      </c>
      <c r="F6" s="62">
        <f>QDL!$K$3</f>
        <v>0.95</v>
      </c>
      <c r="G6" s="64">
        <f t="shared" ref="G6:G10" si="5">2*B6*C6*(D6*F6+E6*SIN(ACOS(F6)))</f>
        <v>1.395934854</v>
      </c>
      <c r="H6" s="74">
        <f t="shared" ref="H6:H10" si="6">G6/220</f>
        <v>0.006345158428</v>
      </c>
      <c r="I6" s="74">
        <f>H6</f>
        <v>0.006345158428</v>
      </c>
      <c r="J6" s="4"/>
      <c r="K6" s="75">
        <v>3.5577</v>
      </c>
      <c r="L6" s="4">
        <v>2.0</v>
      </c>
      <c r="M6" s="4">
        <v>1.5</v>
      </c>
      <c r="N6" s="4"/>
      <c r="O6" s="76" t="s">
        <v>62</v>
      </c>
      <c r="P6" s="77">
        <f t="shared" ref="P6:Q6" si="1">B6</f>
        <v>6.136363636</v>
      </c>
      <c r="Q6" s="77">
        <f t="shared" si="1"/>
        <v>8.0577</v>
      </c>
      <c r="R6" s="76">
        <v>27.4</v>
      </c>
      <c r="S6" s="79">
        <f t="shared" ref="S6:S10" si="8">(Q6/1000)*P6*R6*(100/220)/100</f>
        <v>0.006158147169</v>
      </c>
      <c r="T6" s="80">
        <f>S6</f>
        <v>0.006158147169</v>
      </c>
      <c r="U6" s="4"/>
      <c r="V6" s="4"/>
      <c r="W6" s="4"/>
    </row>
    <row r="7" ht="15.75" customHeight="1">
      <c r="A7" s="62" t="s">
        <v>76</v>
      </c>
      <c r="B7" s="64">
        <f>($B$2*1)/$B$1</f>
        <v>1.227272727</v>
      </c>
      <c r="C7" s="66">
        <f t="shared" si="2"/>
        <v>0.2913</v>
      </c>
      <c r="D7" s="62">
        <f t="shared" si="3"/>
        <v>0.0148137</v>
      </c>
      <c r="E7" s="62">
        <f t="shared" si="4"/>
        <v>0.0001378</v>
      </c>
      <c r="F7" s="62">
        <f>QDL!$K$3</f>
        <v>0.95</v>
      </c>
      <c r="G7" s="64">
        <f t="shared" si="5"/>
        <v>0.0100930991</v>
      </c>
      <c r="H7" s="74">
        <f t="shared" si="6"/>
        <v>0.00004587772318</v>
      </c>
      <c r="I7" s="74">
        <f>I6+H7</f>
        <v>0.006391036151</v>
      </c>
      <c r="J7" s="4"/>
      <c r="K7" s="75">
        <v>0.2913</v>
      </c>
      <c r="L7" s="4">
        <v>0.0</v>
      </c>
      <c r="M7" s="4">
        <v>0.0</v>
      </c>
      <c r="N7" s="4"/>
      <c r="O7" s="76" t="s">
        <v>81</v>
      </c>
      <c r="P7" s="77">
        <f t="shared" ref="P7:Q7" si="7">B7</f>
        <v>1.227272727</v>
      </c>
      <c r="Q7" s="77">
        <f t="shared" si="7"/>
        <v>0.2913</v>
      </c>
      <c r="R7" s="76">
        <v>27.4</v>
      </c>
      <c r="S7" s="79">
        <f t="shared" si="8"/>
        <v>0.00004452556612</v>
      </c>
      <c r="T7" s="80">
        <f>T6+S7</f>
        <v>0.006202672736</v>
      </c>
      <c r="U7" s="4"/>
      <c r="V7" s="4"/>
      <c r="W7" s="4"/>
    </row>
    <row r="8" ht="15.75" customHeight="1">
      <c r="A8" s="62" t="s">
        <v>83</v>
      </c>
      <c r="B8" s="64">
        <f>($B$2*3)/$B$1</f>
        <v>3.681818182</v>
      </c>
      <c r="C8" s="66">
        <f t="shared" si="2"/>
        <v>11.1627</v>
      </c>
      <c r="D8" s="62">
        <f t="shared" si="3"/>
        <v>0.0148137</v>
      </c>
      <c r="E8" s="62">
        <f t="shared" si="4"/>
        <v>0.0001378</v>
      </c>
      <c r="F8" s="62">
        <f>QDL!$K$3</f>
        <v>0.95</v>
      </c>
      <c r="G8" s="64">
        <f t="shared" si="5"/>
        <v>1.160311404</v>
      </c>
      <c r="H8" s="74">
        <f t="shared" si="6"/>
        <v>0.005274142744</v>
      </c>
      <c r="I8" s="74">
        <f>I6+H8</f>
        <v>0.01161930117</v>
      </c>
      <c r="J8" s="4"/>
      <c r="K8" s="75">
        <f>3+2.1627+3</f>
        <v>8.1627</v>
      </c>
      <c r="L8" s="4">
        <v>2.0</v>
      </c>
      <c r="M8" s="4">
        <v>0.0</v>
      </c>
      <c r="N8" s="4"/>
      <c r="O8" s="76" t="s">
        <v>88</v>
      </c>
      <c r="P8" s="77">
        <f t="shared" ref="P8:Q8" si="9">B8</f>
        <v>3.681818182</v>
      </c>
      <c r="Q8" s="77">
        <f t="shared" si="9"/>
        <v>11.1627</v>
      </c>
      <c r="R8" s="76">
        <v>27.4</v>
      </c>
      <c r="S8" s="79">
        <f t="shared" si="8"/>
        <v>0.005118697599</v>
      </c>
      <c r="T8" s="80">
        <f>T6+S8</f>
        <v>0.01127684477</v>
      </c>
      <c r="U8" s="4"/>
      <c r="V8" s="4"/>
      <c r="W8" s="4"/>
    </row>
    <row r="9" ht="15.75" customHeight="1">
      <c r="A9" s="70" t="s">
        <v>93</v>
      </c>
      <c r="B9" s="84">
        <f>($B$2*2)/$B$1</f>
        <v>2.454545455</v>
      </c>
      <c r="C9" s="78">
        <f t="shared" si="2"/>
        <v>0.2461</v>
      </c>
      <c r="D9" s="70">
        <f t="shared" si="3"/>
        <v>0.0148137</v>
      </c>
      <c r="E9" s="70">
        <f t="shared" si="4"/>
        <v>0.0001378</v>
      </c>
      <c r="F9" s="70">
        <f>QDL!$K$3</f>
        <v>0.95</v>
      </c>
      <c r="G9" s="84">
        <f t="shared" si="5"/>
        <v>0.01705397658</v>
      </c>
      <c r="H9" s="85">
        <f t="shared" si="6"/>
        <v>0.00007751807534</v>
      </c>
      <c r="I9" s="85">
        <f t="shared" ref="I9:I10" si="11">I8+H9</f>
        <v>0.01169681925</v>
      </c>
      <c r="J9" s="4"/>
      <c r="K9" s="75">
        <v>0.2461</v>
      </c>
      <c r="L9" s="4">
        <v>0.0</v>
      </c>
      <c r="M9" s="4">
        <v>0.0</v>
      </c>
      <c r="N9" s="4"/>
      <c r="O9" s="86" t="s">
        <v>93</v>
      </c>
      <c r="P9" s="88">
        <f t="shared" ref="P9:Q9" si="10">B9</f>
        <v>2.454545455</v>
      </c>
      <c r="Q9" s="88">
        <f t="shared" si="10"/>
        <v>0.2461</v>
      </c>
      <c r="R9" s="86">
        <v>27.4</v>
      </c>
      <c r="S9" s="89">
        <f t="shared" si="8"/>
        <v>0.00007523338017</v>
      </c>
      <c r="T9" s="91">
        <f t="shared" ref="T9:T10" si="13">T8+S9</f>
        <v>0.01135207815</v>
      </c>
      <c r="U9" s="4"/>
      <c r="V9" s="4"/>
      <c r="W9" s="4"/>
    </row>
    <row r="10" ht="15.75" customHeight="1">
      <c r="A10" s="14" t="s">
        <v>103</v>
      </c>
      <c r="B10" s="15">
        <f>($B$2*1)/$B$1</f>
        <v>1.227272727</v>
      </c>
      <c r="C10" s="25">
        <f t="shared" si="2"/>
        <v>9.4914</v>
      </c>
      <c r="D10" s="14">
        <f t="shared" si="3"/>
        <v>0.0148137</v>
      </c>
      <c r="E10" s="14">
        <f t="shared" si="4"/>
        <v>0.0001378</v>
      </c>
      <c r="F10" s="14">
        <f>QDL!$K$3</f>
        <v>0.95</v>
      </c>
      <c r="G10" s="15">
        <f t="shared" si="5"/>
        <v>0.3288624812</v>
      </c>
      <c r="H10" s="93">
        <f t="shared" si="6"/>
        <v>0.00149482946</v>
      </c>
      <c r="I10" s="93">
        <f t="shared" si="11"/>
        <v>0.01319164871</v>
      </c>
      <c r="J10" s="4"/>
      <c r="K10" s="75">
        <f>3+0.4914+3</f>
        <v>6.4914</v>
      </c>
      <c r="L10" s="4">
        <v>2.0</v>
      </c>
      <c r="M10" s="4">
        <v>0.0</v>
      </c>
      <c r="N10" s="4"/>
      <c r="O10" s="95" t="s">
        <v>105</v>
      </c>
      <c r="P10" s="88">
        <f t="shared" ref="P10:Q10" si="12">B10</f>
        <v>1.227272727</v>
      </c>
      <c r="Q10" s="88">
        <f t="shared" si="12"/>
        <v>9.4914</v>
      </c>
      <c r="R10" s="86">
        <v>27.4</v>
      </c>
      <c r="S10" s="89">
        <f t="shared" si="8"/>
        <v>0.001450772256</v>
      </c>
      <c r="T10" s="91">
        <f t="shared" si="13"/>
        <v>0.0128028504</v>
      </c>
      <c r="U10" s="4"/>
      <c r="V10" s="4"/>
      <c r="W10" s="4"/>
    </row>
    <row r="11" ht="15.75" customHeight="1">
      <c r="A11" s="70"/>
      <c r="B11" s="84"/>
      <c r="C11" s="70"/>
      <c r="D11" s="70"/>
      <c r="E11" s="70"/>
      <c r="F11" s="70"/>
      <c r="G11" s="84"/>
      <c r="H11" s="85"/>
      <c r="I11" s="85"/>
      <c r="J11" s="4"/>
      <c r="K11" s="75"/>
      <c r="L11" s="4"/>
      <c r="M11" s="4"/>
      <c r="N11" s="4"/>
      <c r="O11" s="98"/>
      <c r="P11" s="84"/>
      <c r="Q11" s="84"/>
      <c r="R11" s="70"/>
      <c r="S11" s="99"/>
      <c r="T11" s="85"/>
      <c r="U11" s="4"/>
      <c r="V11" s="4"/>
      <c r="W11" s="4"/>
    </row>
    <row r="12">
      <c r="A12" s="30" t="s">
        <v>115</v>
      </c>
      <c r="B12" s="33">
        <f>QDL!$H$4</f>
        <v>290</v>
      </c>
      <c r="C12" s="70"/>
      <c r="D12" s="70"/>
      <c r="E12" s="70"/>
      <c r="F12" s="70"/>
      <c r="G12" s="84"/>
      <c r="H12" s="85"/>
      <c r="I12" s="85"/>
      <c r="J12" s="4"/>
      <c r="K12" s="75"/>
      <c r="L12" s="4"/>
      <c r="M12" s="4"/>
      <c r="N12" s="4"/>
      <c r="O12" s="98"/>
      <c r="P12" s="84"/>
      <c r="Q12" s="84"/>
      <c r="R12" s="70"/>
      <c r="S12" s="99"/>
      <c r="T12" s="85"/>
      <c r="U12" s="4"/>
      <c r="V12" s="4"/>
      <c r="W12" s="4"/>
    </row>
    <row r="13">
      <c r="A13" s="30" t="s">
        <v>37</v>
      </c>
      <c r="B13" s="38">
        <f>QDL!$G$4</f>
        <v>4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70"/>
      <c r="P13" s="84"/>
      <c r="Q13" s="84"/>
      <c r="R13" s="70"/>
      <c r="S13" s="99"/>
      <c r="T13" s="85"/>
      <c r="U13" s="4"/>
      <c r="V13" s="4"/>
      <c r="W13" s="4"/>
    </row>
    <row r="14" ht="15.75" customHeight="1">
      <c r="A14" s="46" t="s">
        <v>42</v>
      </c>
      <c r="B14" s="47"/>
      <c r="C14" s="47"/>
      <c r="D14" s="47"/>
      <c r="E14" s="47"/>
      <c r="F14" s="47"/>
      <c r="G14" s="47"/>
      <c r="H14" s="47"/>
      <c r="I14" s="47"/>
      <c r="J14" s="4"/>
      <c r="K14" s="4"/>
      <c r="L14" s="4"/>
      <c r="M14" s="4"/>
      <c r="N14" s="4"/>
      <c r="O14" s="103" t="s">
        <v>42</v>
      </c>
      <c r="P14" s="23"/>
      <c r="Q14" s="23"/>
      <c r="R14" s="23"/>
      <c r="S14" s="23"/>
      <c r="T14" s="23"/>
      <c r="U14" s="4"/>
      <c r="V14" s="4"/>
      <c r="W14" s="4"/>
    </row>
    <row r="15" ht="15.75" customHeight="1">
      <c r="A15" s="52" t="s">
        <v>116</v>
      </c>
      <c r="B15" s="52" t="s">
        <v>44</v>
      </c>
      <c r="C15" s="52" t="s">
        <v>45</v>
      </c>
      <c r="D15" s="52" t="s">
        <v>46</v>
      </c>
      <c r="E15" s="52" t="s">
        <v>49</v>
      </c>
      <c r="F15" s="52" t="s">
        <v>51</v>
      </c>
      <c r="G15" s="52" t="s">
        <v>52</v>
      </c>
      <c r="H15" s="52" t="s">
        <v>53</v>
      </c>
      <c r="I15" s="52" t="s">
        <v>54</v>
      </c>
      <c r="J15" s="4"/>
      <c r="K15" s="57" t="s">
        <v>55</v>
      </c>
      <c r="L15" s="57" t="s">
        <v>56</v>
      </c>
      <c r="M15" s="57" t="s">
        <v>57</v>
      </c>
      <c r="N15" s="4"/>
      <c r="O15" s="59" t="s">
        <v>116</v>
      </c>
      <c r="P15" s="59" t="s">
        <v>32</v>
      </c>
      <c r="Q15" s="59" t="s">
        <v>45</v>
      </c>
      <c r="R15" s="59" t="s">
        <v>58</v>
      </c>
      <c r="S15" s="59" t="s">
        <v>53</v>
      </c>
      <c r="T15" s="59" t="s">
        <v>54</v>
      </c>
      <c r="U15" s="4"/>
      <c r="V15" s="4"/>
      <c r="W15" s="4"/>
    </row>
    <row r="16" ht="15.75" customHeight="1">
      <c r="A16" s="62" t="s">
        <v>117</v>
      </c>
      <c r="B16" s="64">
        <f>($B$12*4)/$B$1</f>
        <v>5.272727273</v>
      </c>
      <c r="C16" s="62">
        <f t="shared" ref="C16:C19" si="15">K16+(L16*1.5)+M16</f>
        <v>13</v>
      </c>
      <c r="D16" s="62">
        <f t="shared" ref="D16:D19" si="16">14.8137*10^-3</f>
        <v>0.0148137</v>
      </c>
      <c r="E16" s="62">
        <f t="shared" ref="E16:E19" si="17">0.1378*10^-3</f>
        <v>0.0001378</v>
      </c>
      <c r="F16" s="62">
        <f>QDL!K$4</f>
        <v>0.95</v>
      </c>
      <c r="G16" s="64">
        <f t="shared" ref="G16:G19" si="18">2*B16*C16*(D16*F16+E16*SIN(ACOS(F16)))</f>
        <v>1.935181173</v>
      </c>
      <c r="H16" s="74">
        <f t="shared" ref="H16:H19" si="19">G16/220</f>
        <v>0.008796278057</v>
      </c>
      <c r="I16" s="74">
        <f>H16</f>
        <v>0.008796278057</v>
      </c>
      <c r="J16" s="4"/>
      <c r="K16" s="4">
        <f>1.62+2.88</f>
        <v>4.5</v>
      </c>
      <c r="L16" s="4">
        <v>2.0</v>
      </c>
      <c r="M16" s="4">
        <f>7-1.5</f>
        <v>5.5</v>
      </c>
      <c r="N16" s="4"/>
      <c r="O16" s="76" t="str">
        <f>'Queda de Tensão - QDL'!$A16</f>
        <v>QDL1-Lu1</v>
      </c>
      <c r="P16" s="77">
        <f t="shared" ref="P16:Q16" si="14">B16</f>
        <v>5.272727273</v>
      </c>
      <c r="Q16" s="77">
        <f t="shared" si="14"/>
        <v>13</v>
      </c>
      <c r="R16" s="76">
        <v>27.4</v>
      </c>
      <c r="S16" s="79">
        <f t="shared" ref="S16:S19" si="21">(Q16/1000)*P16*R16*(100/220)/100</f>
        <v>0.008537024793</v>
      </c>
      <c r="T16" s="80">
        <f>S16</f>
        <v>0.008537024793</v>
      </c>
      <c r="U16" s="4"/>
      <c r="V16" s="4"/>
      <c r="W16" s="4"/>
    </row>
    <row r="17" ht="15.75" customHeight="1">
      <c r="A17" s="62" t="s">
        <v>81</v>
      </c>
      <c r="B17" s="64">
        <f>($B$12*3)/$B$1</f>
        <v>3.954545455</v>
      </c>
      <c r="C17" s="62">
        <f t="shared" si="15"/>
        <v>3.98</v>
      </c>
      <c r="D17" s="62">
        <f t="shared" si="16"/>
        <v>0.0148137</v>
      </c>
      <c r="E17" s="62">
        <f t="shared" si="17"/>
        <v>0.0001378</v>
      </c>
      <c r="F17" s="62">
        <f>QDL!K$4</f>
        <v>0.95</v>
      </c>
      <c r="G17" s="64">
        <f t="shared" si="18"/>
        <v>0.4443473692</v>
      </c>
      <c r="H17" s="74">
        <f t="shared" si="19"/>
        <v>0.002019760769</v>
      </c>
      <c r="I17" s="74">
        <f t="shared" ref="I17:I19" si="22">I16+H17</f>
        <v>0.01081603883</v>
      </c>
      <c r="J17" s="4"/>
      <c r="K17" s="4">
        <v>3.98</v>
      </c>
      <c r="L17" s="4">
        <v>0.0</v>
      </c>
      <c r="M17" s="4">
        <v>0.0</v>
      </c>
      <c r="N17" s="4"/>
      <c r="O17" s="76" t="str">
        <f>'Queda de Tensão - QDL'!$A17</f>
        <v>Lu1-Lu2</v>
      </c>
      <c r="P17" s="77">
        <f t="shared" ref="P17:Q17" si="20">B17</f>
        <v>3.954545455</v>
      </c>
      <c r="Q17" s="77">
        <f t="shared" si="20"/>
        <v>3.98</v>
      </c>
      <c r="R17" s="76">
        <v>27.4</v>
      </c>
      <c r="S17" s="79">
        <f t="shared" si="21"/>
        <v>0.001960232231</v>
      </c>
      <c r="T17" s="80">
        <f t="shared" ref="T17:T19" si="24">T16+S17</f>
        <v>0.01049725702</v>
      </c>
      <c r="U17" s="4"/>
      <c r="V17" s="4"/>
      <c r="W17" s="4"/>
    </row>
    <row r="18" ht="15.75" customHeight="1">
      <c r="A18" s="62" t="s">
        <v>88</v>
      </c>
      <c r="B18" s="64">
        <f>($B$12*2)/$B$1</f>
        <v>2.636363636</v>
      </c>
      <c r="C18" s="62">
        <f t="shared" si="15"/>
        <v>3.98</v>
      </c>
      <c r="D18" s="62">
        <f t="shared" si="16"/>
        <v>0.0148137</v>
      </c>
      <c r="E18" s="62">
        <f t="shared" si="17"/>
        <v>0.0001378</v>
      </c>
      <c r="F18" s="62">
        <f>QDL!K$4</f>
        <v>0.95</v>
      </c>
      <c r="G18" s="64">
        <f t="shared" si="18"/>
        <v>0.2962315795</v>
      </c>
      <c r="H18" s="74">
        <f t="shared" si="19"/>
        <v>0.00134650718</v>
      </c>
      <c r="I18" s="74">
        <f t="shared" si="22"/>
        <v>0.01216254601</v>
      </c>
      <c r="J18" s="4"/>
      <c r="K18" s="4">
        <v>3.98</v>
      </c>
      <c r="L18" s="4">
        <v>0.0</v>
      </c>
      <c r="M18" s="4">
        <v>0.0</v>
      </c>
      <c r="N18" s="4"/>
      <c r="O18" s="76" t="str">
        <f>'Queda de Tensão - QDL'!$A18</f>
        <v>Lu2-Lu3</v>
      </c>
      <c r="P18" s="77">
        <f t="shared" ref="P18:Q18" si="23">B18</f>
        <v>2.636363636</v>
      </c>
      <c r="Q18" s="77">
        <f t="shared" si="23"/>
        <v>3.98</v>
      </c>
      <c r="R18" s="76">
        <v>27.4</v>
      </c>
      <c r="S18" s="79">
        <f t="shared" si="21"/>
        <v>0.001306821488</v>
      </c>
      <c r="T18" s="80">
        <f t="shared" si="24"/>
        <v>0.01180407851</v>
      </c>
      <c r="U18" s="4"/>
      <c r="V18" s="4"/>
      <c r="W18" s="4"/>
    </row>
    <row r="19" ht="15.75" customHeight="1">
      <c r="A19" s="20" t="s">
        <v>121</v>
      </c>
      <c r="B19" s="22">
        <f>($B$12*1)/$B$1</f>
        <v>1.318181818</v>
      </c>
      <c r="C19" s="20">
        <f t="shared" si="15"/>
        <v>3.98</v>
      </c>
      <c r="D19" s="20">
        <f t="shared" si="16"/>
        <v>0.0148137</v>
      </c>
      <c r="E19" s="20">
        <f t="shared" si="17"/>
        <v>0.0001378</v>
      </c>
      <c r="F19" s="20">
        <f>QDL!K$4</f>
        <v>0.95</v>
      </c>
      <c r="G19" s="22">
        <f t="shared" si="18"/>
        <v>0.1481157897</v>
      </c>
      <c r="H19" s="114">
        <f t="shared" si="19"/>
        <v>0.0006732535898</v>
      </c>
      <c r="I19" s="114">
        <f t="shared" si="22"/>
        <v>0.0128357996</v>
      </c>
      <c r="J19" s="4"/>
      <c r="K19" s="4">
        <v>3.98</v>
      </c>
      <c r="L19" s="4">
        <v>0.0</v>
      </c>
      <c r="M19" s="4">
        <v>0.0</v>
      </c>
      <c r="N19" s="4"/>
      <c r="O19" s="76" t="str">
        <f t="array" ref="O19">'Queda de Tensão - QDL'!$A$19</f>
        <v>Lu3-Lu4*</v>
      </c>
      <c r="P19" s="77">
        <f t="shared" ref="P19:Q19" si="25">B19</f>
        <v>1.318181818</v>
      </c>
      <c r="Q19" s="77">
        <f t="shared" si="25"/>
        <v>3.98</v>
      </c>
      <c r="R19" s="76">
        <v>27.4</v>
      </c>
      <c r="S19" s="79">
        <f t="shared" si="21"/>
        <v>0.0006534107438</v>
      </c>
      <c r="T19" s="80">
        <f t="shared" si="24"/>
        <v>0.01245748926</v>
      </c>
      <c r="U19" s="4"/>
      <c r="V19" s="4"/>
      <c r="W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70"/>
      <c r="P20" s="70"/>
      <c r="Q20" s="70"/>
      <c r="R20" s="70"/>
      <c r="S20" s="70"/>
      <c r="T20" s="70"/>
      <c r="U20" s="4"/>
      <c r="V20" s="4"/>
      <c r="W20" s="4"/>
    </row>
    <row r="21">
      <c r="A21" s="30" t="s">
        <v>115</v>
      </c>
      <c r="B21" s="33">
        <f>QDL!$H$5</f>
        <v>290</v>
      </c>
      <c r="J21" s="4"/>
      <c r="K21" s="4"/>
      <c r="L21" s="4"/>
      <c r="M21" s="4"/>
      <c r="N21" s="4"/>
      <c r="P21" s="115"/>
      <c r="Q21" s="115"/>
      <c r="R21" s="115"/>
      <c r="S21" s="115"/>
      <c r="T21" s="115"/>
      <c r="U21" s="4"/>
      <c r="V21" s="4"/>
      <c r="W21" s="4"/>
    </row>
    <row r="22">
      <c r="A22" s="30" t="s">
        <v>37</v>
      </c>
      <c r="B22" s="38">
        <f>QDL!$G$5</f>
        <v>6</v>
      </c>
      <c r="J22" s="4"/>
      <c r="K22" s="4"/>
      <c r="L22" s="4"/>
      <c r="M22" s="4"/>
      <c r="N22" s="4"/>
      <c r="O22" s="115"/>
      <c r="P22" s="115"/>
      <c r="Q22" s="115"/>
      <c r="R22" s="115"/>
      <c r="S22" s="115"/>
      <c r="T22" s="115"/>
      <c r="U22" s="4"/>
      <c r="V22" s="4"/>
      <c r="W22" s="4"/>
    </row>
    <row r="23">
      <c r="A23" s="46" t="s">
        <v>124</v>
      </c>
      <c r="B23" s="47"/>
      <c r="C23" s="47"/>
      <c r="D23" s="47"/>
      <c r="E23" s="47"/>
      <c r="F23" s="47"/>
      <c r="G23" s="47"/>
      <c r="H23" s="47"/>
      <c r="I23" s="47"/>
      <c r="J23" s="4"/>
      <c r="K23" s="4"/>
      <c r="L23" s="4"/>
      <c r="M23" s="4"/>
      <c r="N23" s="4"/>
      <c r="O23" s="103" t="s">
        <v>124</v>
      </c>
      <c r="P23" s="23"/>
      <c r="Q23" s="23"/>
      <c r="R23" s="23"/>
      <c r="S23" s="23"/>
      <c r="T23" s="23"/>
      <c r="U23" s="4"/>
      <c r="V23" s="4"/>
      <c r="W23" s="4"/>
    </row>
    <row r="24" ht="15.75" customHeight="1">
      <c r="A24" s="52" t="s">
        <v>125</v>
      </c>
      <c r="B24" s="52" t="s">
        <v>44</v>
      </c>
      <c r="C24" s="52" t="s">
        <v>45</v>
      </c>
      <c r="D24" s="52" t="s">
        <v>46</v>
      </c>
      <c r="E24" s="52" t="s">
        <v>49</v>
      </c>
      <c r="F24" s="52" t="s">
        <v>51</v>
      </c>
      <c r="G24" s="52" t="s">
        <v>52</v>
      </c>
      <c r="H24" s="52" t="s">
        <v>53</v>
      </c>
      <c r="I24" s="52" t="s">
        <v>54</v>
      </c>
      <c r="J24" s="4"/>
      <c r="K24" s="57" t="s">
        <v>55</v>
      </c>
      <c r="L24" s="57" t="s">
        <v>56</v>
      </c>
      <c r="M24" s="57" t="s">
        <v>57</v>
      </c>
      <c r="N24" s="4"/>
      <c r="O24" s="59" t="s">
        <v>125</v>
      </c>
      <c r="P24" s="59" t="s">
        <v>32</v>
      </c>
      <c r="Q24" s="59" t="s">
        <v>45</v>
      </c>
      <c r="R24" s="59" t="s">
        <v>58</v>
      </c>
      <c r="S24" s="59" t="s">
        <v>53</v>
      </c>
      <c r="T24" s="59" t="s">
        <v>54</v>
      </c>
      <c r="U24" s="4"/>
      <c r="V24" s="4"/>
      <c r="W24" s="4"/>
    </row>
    <row r="25" ht="15.75" customHeight="1">
      <c r="A25" s="62" t="s">
        <v>126</v>
      </c>
      <c r="B25" s="64">
        <f>($B$21*6)/$B$1</f>
        <v>7.909090909</v>
      </c>
      <c r="C25" s="62">
        <f t="shared" ref="C25:C30" si="27">K25+(L25*1.5)+M25</f>
        <v>8.11</v>
      </c>
      <c r="D25" s="62">
        <f t="shared" ref="D25:D30" si="28">14.8137*10^-3</f>
        <v>0.0148137</v>
      </c>
      <c r="E25" s="62">
        <f t="shared" ref="E25:E30" si="29">0.1378*10^-3</f>
        <v>0.0001378</v>
      </c>
      <c r="F25" s="62">
        <f>QDL!K$5</f>
        <v>0.95</v>
      </c>
      <c r="G25" s="64">
        <f t="shared" ref="G25:G30" si="30">2*B25*C25*(D25*F25+E25*SIN(ACOS(F25)))</f>
        <v>1.810882997</v>
      </c>
      <c r="H25" s="74">
        <f t="shared" ref="H25:H30" si="31">G25/220</f>
        <v>0.008231286351</v>
      </c>
      <c r="I25" s="74">
        <f>H25</f>
        <v>0.008231286351</v>
      </c>
      <c r="J25" s="4"/>
      <c r="K25" s="4">
        <v>1.11</v>
      </c>
      <c r="L25" s="4">
        <v>1.0</v>
      </c>
      <c r="M25" s="4">
        <f>7-1.5</f>
        <v>5.5</v>
      </c>
      <c r="N25" s="4"/>
      <c r="O25" s="76" t="str">
        <f>'Queda de Tensão - QDL'!$A25</f>
        <v>QDL2-Lu1</v>
      </c>
      <c r="P25" s="77">
        <f t="shared" ref="P25:Q25" si="26">B25</f>
        <v>7.909090909</v>
      </c>
      <c r="Q25" s="77">
        <f t="shared" si="26"/>
        <v>8.11</v>
      </c>
      <c r="R25" s="76">
        <v>27.4</v>
      </c>
      <c r="S25" s="79">
        <f t="shared" ref="S25:S30" si="33">(Q25/1000)*P25*R25*(100/220)/100</f>
        <v>0.007988685124</v>
      </c>
      <c r="T25" s="80">
        <f>S25</f>
        <v>0.007988685124</v>
      </c>
      <c r="U25" s="4"/>
      <c r="V25" s="4"/>
      <c r="W25" s="4"/>
    </row>
    <row r="26" ht="15.75" customHeight="1">
      <c r="A26" s="62" t="s">
        <v>81</v>
      </c>
      <c r="B26" s="64">
        <f>($B$21*2)/$B$1</f>
        <v>2.636363636</v>
      </c>
      <c r="C26" s="62">
        <f t="shared" si="27"/>
        <v>3.09</v>
      </c>
      <c r="D26" s="62">
        <f t="shared" si="28"/>
        <v>0.0148137</v>
      </c>
      <c r="E26" s="62">
        <f t="shared" si="29"/>
        <v>0.0001378</v>
      </c>
      <c r="F26" s="62">
        <f>QDL!K$5</f>
        <v>0.95</v>
      </c>
      <c r="G26" s="64">
        <f t="shared" si="30"/>
        <v>0.2299888394</v>
      </c>
      <c r="H26" s="74">
        <f t="shared" si="31"/>
        <v>0.001045403815</v>
      </c>
      <c r="I26" s="74">
        <f t="shared" ref="I26:I27" si="34">I25+H26</f>
        <v>0.009276690167</v>
      </c>
      <c r="J26" s="4"/>
      <c r="K26" s="4">
        <v>3.09</v>
      </c>
      <c r="L26" s="4">
        <v>0.0</v>
      </c>
      <c r="M26" s="4">
        <v>0.0</v>
      </c>
      <c r="N26" s="4"/>
      <c r="O26" s="76" t="str">
        <f>'Queda de Tensão - QDL'!$A26</f>
        <v>Lu1-Lu2</v>
      </c>
      <c r="P26" s="77">
        <f t="shared" ref="P26:Q26" si="32">B26</f>
        <v>2.636363636</v>
      </c>
      <c r="Q26" s="77">
        <f t="shared" si="32"/>
        <v>3.09</v>
      </c>
      <c r="R26" s="76">
        <v>27.4</v>
      </c>
      <c r="S26" s="79">
        <f t="shared" si="33"/>
        <v>0.001014592562</v>
      </c>
      <c r="T26" s="80">
        <f t="shared" ref="T26:T27" si="36">T25+S26</f>
        <v>0.009003277686</v>
      </c>
      <c r="U26" s="4"/>
      <c r="V26" s="4"/>
      <c r="W26" s="4"/>
    </row>
    <row r="27" ht="15.75" customHeight="1">
      <c r="A27" s="62" t="s">
        <v>128</v>
      </c>
      <c r="B27" s="64">
        <f>($B$21*1)/$B$1</f>
        <v>1.318181818</v>
      </c>
      <c r="C27" s="62">
        <f t="shared" si="27"/>
        <v>3.09</v>
      </c>
      <c r="D27" s="62">
        <f t="shared" si="28"/>
        <v>0.0148137</v>
      </c>
      <c r="E27" s="62">
        <f t="shared" si="29"/>
        <v>0.0001378</v>
      </c>
      <c r="F27" s="62">
        <f>QDL!K$5</f>
        <v>0.95</v>
      </c>
      <c r="G27" s="64">
        <f t="shared" si="30"/>
        <v>0.1149944197</v>
      </c>
      <c r="H27" s="74">
        <f t="shared" si="31"/>
        <v>0.0005227019076</v>
      </c>
      <c r="I27" s="74">
        <f t="shared" si="34"/>
        <v>0.009799392074</v>
      </c>
      <c r="J27" s="4"/>
      <c r="K27" s="4">
        <v>3.09</v>
      </c>
      <c r="L27" s="4">
        <v>0.0</v>
      </c>
      <c r="M27" s="4">
        <v>0.0</v>
      </c>
      <c r="N27" s="4"/>
      <c r="O27" s="76" t="str">
        <f>'Queda de Tensão - QDL'!$A27</f>
        <v>Lu2-Lu3*</v>
      </c>
      <c r="P27" s="77">
        <f t="shared" ref="P27:Q27" si="35">B27</f>
        <v>1.318181818</v>
      </c>
      <c r="Q27" s="77">
        <f t="shared" si="35"/>
        <v>3.09</v>
      </c>
      <c r="R27" s="76">
        <v>27.4</v>
      </c>
      <c r="S27" s="79">
        <f t="shared" si="33"/>
        <v>0.000507296281</v>
      </c>
      <c r="T27" s="80">
        <f t="shared" si="36"/>
        <v>0.009510573967</v>
      </c>
      <c r="U27" s="4"/>
      <c r="V27" s="4"/>
      <c r="W27" s="4"/>
    </row>
    <row r="28" ht="15.75" customHeight="1">
      <c r="A28" s="62" t="s">
        <v>129</v>
      </c>
      <c r="B28" s="64">
        <f>($B$21*3)/$B$1</f>
        <v>3.954545455</v>
      </c>
      <c r="C28" s="62">
        <f t="shared" si="27"/>
        <v>6.3</v>
      </c>
      <c r="D28" s="62">
        <f t="shared" si="28"/>
        <v>0.0148137</v>
      </c>
      <c r="E28" s="62">
        <f t="shared" si="29"/>
        <v>0.0001378</v>
      </c>
      <c r="F28" s="62">
        <f>QDL!K$5</f>
        <v>0.95</v>
      </c>
      <c r="G28" s="64">
        <f t="shared" si="30"/>
        <v>0.7033639262</v>
      </c>
      <c r="H28" s="74">
        <f t="shared" si="31"/>
        <v>0.003197108755</v>
      </c>
      <c r="I28" s="74">
        <f>I25+H28</f>
        <v>0.01142839511</v>
      </c>
      <c r="J28" s="4"/>
      <c r="K28" s="4">
        <v>4.8</v>
      </c>
      <c r="L28" s="4">
        <v>1.0</v>
      </c>
      <c r="M28" s="4">
        <v>0.0</v>
      </c>
      <c r="N28" s="4"/>
      <c r="O28" s="76" t="str">
        <f>'Queda de Tensão - QDL'!$A28</f>
        <v>Lu1-Lu4</v>
      </c>
      <c r="P28" s="77">
        <f t="shared" ref="P28:Q28" si="37">B28</f>
        <v>3.954545455</v>
      </c>
      <c r="Q28" s="77">
        <f t="shared" si="37"/>
        <v>6.3</v>
      </c>
      <c r="R28" s="76">
        <v>27.4</v>
      </c>
      <c r="S28" s="79">
        <f t="shared" si="33"/>
        <v>0.003102880165</v>
      </c>
      <c r="T28" s="80">
        <f>T25+S28</f>
        <v>0.01109156529</v>
      </c>
      <c r="U28" s="4"/>
      <c r="V28" s="4"/>
      <c r="W28" s="4"/>
    </row>
    <row r="29" ht="15.75" customHeight="1">
      <c r="A29" s="62" t="s">
        <v>105</v>
      </c>
      <c r="B29" s="64">
        <f>($B$21*2)/$B$1</f>
        <v>2.636363636</v>
      </c>
      <c r="C29" s="62">
        <f t="shared" si="27"/>
        <v>4.59</v>
      </c>
      <c r="D29" s="62">
        <f t="shared" si="28"/>
        <v>0.0148137</v>
      </c>
      <c r="E29" s="62">
        <f t="shared" si="29"/>
        <v>0.0001378</v>
      </c>
      <c r="F29" s="62">
        <f>QDL!K$5</f>
        <v>0.95</v>
      </c>
      <c r="G29" s="64">
        <f t="shared" si="30"/>
        <v>0.341633907</v>
      </c>
      <c r="H29" s="74">
        <f t="shared" si="31"/>
        <v>0.001552881395</v>
      </c>
      <c r="I29" s="74">
        <f t="shared" ref="I29:I30" si="39">I28+H29</f>
        <v>0.0129812765</v>
      </c>
      <c r="J29" s="4"/>
      <c r="K29" s="4">
        <v>3.09</v>
      </c>
      <c r="L29" s="4">
        <v>1.0</v>
      </c>
      <c r="M29" s="4">
        <v>0.0</v>
      </c>
      <c r="N29" s="4"/>
      <c r="O29" s="76" t="str">
        <f>'Queda de Tensão - QDL'!$A29</f>
        <v>Lu4-Lu5</v>
      </c>
      <c r="P29" s="77">
        <f t="shared" ref="P29:Q29" si="38">B29</f>
        <v>2.636363636</v>
      </c>
      <c r="Q29" s="77">
        <f t="shared" si="38"/>
        <v>4.59</v>
      </c>
      <c r="R29" s="76">
        <v>27.4</v>
      </c>
      <c r="S29" s="79">
        <f t="shared" si="33"/>
        <v>0.001507113223</v>
      </c>
      <c r="T29" s="80">
        <f t="shared" ref="T29:T30" si="41">T28+S29</f>
        <v>0.01259867851</v>
      </c>
      <c r="U29" s="4"/>
      <c r="V29" s="4"/>
      <c r="W29" s="4"/>
    </row>
    <row r="30" ht="15.75" customHeight="1">
      <c r="A30" s="116" t="s">
        <v>130</v>
      </c>
      <c r="B30" s="117">
        <f>($B$21*1)/$B$1</f>
        <v>1.318181818</v>
      </c>
      <c r="C30" s="116">
        <f t="shared" si="27"/>
        <v>3.09</v>
      </c>
      <c r="D30" s="116">
        <f t="shared" si="28"/>
        <v>0.0148137</v>
      </c>
      <c r="E30" s="116">
        <f t="shared" si="29"/>
        <v>0.0001378</v>
      </c>
      <c r="F30" s="116">
        <f>QDL!K$5</f>
        <v>0.95</v>
      </c>
      <c r="G30" s="117">
        <f t="shared" si="30"/>
        <v>0.1149944197</v>
      </c>
      <c r="H30" s="118">
        <f t="shared" si="31"/>
        <v>0.0005227019076</v>
      </c>
      <c r="I30" s="118">
        <f t="shared" si="39"/>
        <v>0.01350397841</v>
      </c>
      <c r="J30" s="4"/>
      <c r="K30" s="4">
        <v>3.09</v>
      </c>
      <c r="L30" s="4">
        <v>0.0</v>
      </c>
      <c r="M30" s="4">
        <v>0.0</v>
      </c>
      <c r="N30" s="4"/>
      <c r="O30" s="76" t="str">
        <f>'Queda de Tensão - QDL'!$A30</f>
        <v>Lu5-Lu6*</v>
      </c>
      <c r="P30" s="77">
        <f t="shared" ref="P30:Q30" si="40">B30</f>
        <v>1.318181818</v>
      </c>
      <c r="Q30" s="77">
        <f t="shared" si="40"/>
        <v>3.09</v>
      </c>
      <c r="R30" s="76">
        <v>27.4</v>
      </c>
      <c r="S30" s="79">
        <f t="shared" si="33"/>
        <v>0.000507296281</v>
      </c>
      <c r="T30" s="80">
        <f t="shared" si="41"/>
        <v>0.01310597479</v>
      </c>
      <c r="U30" s="4"/>
      <c r="V30" s="4"/>
      <c r="W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70"/>
      <c r="P31" s="84"/>
      <c r="Q31" s="84"/>
      <c r="R31" s="70"/>
      <c r="S31" s="99"/>
      <c r="T31" s="85"/>
      <c r="U31" s="4"/>
      <c r="V31" s="4"/>
      <c r="W31" s="4"/>
    </row>
    <row r="32">
      <c r="A32" s="30" t="s">
        <v>115</v>
      </c>
      <c r="B32" s="33">
        <f>QDL!$H$6</f>
        <v>290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P32" s="115"/>
      <c r="Q32" s="115"/>
      <c r="R32" s="115"/>
      <c r="S32" s="115"/>
      <c r="T32" s="115"/>
      <c r="U32" s="4"/>
      <c r="V32" s="4"/>
      <c r="W32" s="4"/>
    </row>
    <row r="33">
      <c r="A33" s="30" t="s">
        <v>37</v>
      </c>
      <c r="B33" s="38">
        <f>QDL!$G$6</f>
        <v>6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115"/>
      <c r="P33" s="115"/>
      <c r="Q33" s="115"/>
      <c r="R33" s="115"/>
      <c r="S33" s="115"/>
      <c r="T33" s="115"/>
      <c r="U33" s="4"/>
      <c r="V33" s="4"/>
      <c r="W33" s="4"/>
    </row>
    <row r="34" ht="15.75" customHeight="1">
      <c r="A34" s="46" t="s">
        <v>131</v>
      </c>
      <c r="B34" s="47"/>
      <c r="C34" s="47"/>
      <c r="D34" s="47"/>
      <c r="E34" s="47"/>
      <c r="F34" s="47"/>
      <c r="G34" s="47"/>
      <c r="H34" s="47"/>
      <c r="I34" s="47"/>
      <c r="J34" s="4"/>
      <c r="K34" s="4"/>
      <c r="L34" s="4"/>
      <c r="M34" s="4"/>
      <c r="N34" s="4"/>
      <c r="O34" s="103" t="s">
        <v>132</v>
      </c>
      <c r="P34" s="23"/>
      <c r="Q34" s="23"/>
      <c r="R34" s="23"/>
      <c r="S34" s="23"/>
      <c r="T34" s="23"/>
      <c r="U34" s="4"/>
      <c r="V34" s="4"/>
      <c r="W34" s="4"/>
    </row>
    <row r="35" ht="15.75" customHeight="1">
      <c r="A35" s="52" t="s">
        <v>133</v>
      </c>
      <c r="B35" s="52" t="s">
        <v>44</v>
      </c>
      <c r="C35" s="52" t="s">
        <v>45</v>
      </c>
      <c r="D35" s="52" t="s">
        <v>46</v>
      </c>
      <c r="E35" s="52" t="s">
        <v>49</v>
      </c>
      <c r="F35" s="52" t="s">
        <v>51</v>
      </c>
      <c r="G35" s="52" t="s">
        <v>52</v>
      </c>
      <c r="H35" s="52" t="s">
        <v>53</v>
      </c>
      <c r="I35" s="52" t="s">
        <v>54</v>
      </c>
      <c r="J35" s="4"/>
      <c r="K35" s="57" t="s">
        <v>55</v>
      </c>
      <c r="L35" s="57" t="s">
        <v>56</v>
      </c>
      <c r="M35" s="57" t="s">
        <v>57</v>
      </c>
      <c r="N35" s="4"/>
      <c r="O35" s="59" t="s">
        <v>133</v>
      </c>
      <c r="P35" s="59" t="s">
        <v>32</v>
      </c>
      <c r="Q35" s="59" t="s">
        <v>45</v>
      </c>
      <c r="R35" s="59" t="s">
        <v>58</v>
      </c>
      <c r="S35" s="59" t="s">
        <v>53</v>
      </c>
      <c r="T35" s="59" t="s">
        <v>54</v>
      </c>
      <c r="U35" s="4"/>
      <c r="V35" s="4"/>
      <c r="W35" s="4"/>
    </row>
    <row r="36" ht="15.75" customHeight="1">
      <c r="A36" s="62" t="s">
        <v>134</v>
      </c>
      <c r="B36" s="64">
        <f>($B$32*6)/$B$1</f>
        <v>7.909090909</v>
      </c>
      <c r="C36" s="62">
        <f t="shared" ref="C36:C41" si="43">K36+(L36*1.5)+M36</f>
        <v>11.92</v>
      </c>
      <c r="D36" s="62">
        <f t="shared" ref="D36:D41" si="44">14.8137*10^-3</f>
        <v>0.0148137</v>
      </c>
      <c r="E36" s="62">
        <f t="shared" ref="E36:E41" si="45">0.1378*10^-3</f>
        <v>0.0001378</v>
      </c>
      <c r="F36" s="62">
        <f>QDL!K$6</f>
        <v>0.95</v>
      </c>
      <c r="G36" s="64">
        <f t="shared" ref="G36:G41" si="46">2*B36*C36*(D36*F36+E36*SIN(ACOS(F36)))</f>
        <v>2.661618413</v>
      </c>
      <c r="H36" s="74">
        <f t="shared" ref="H36:H41" si="47">G36/220</f>
        <v>0.01209826551</v>
      </c>
      <c r="I36" s="74">
        <f>H36</f>
        <v>0.01209826551</v>
      </c>
      <c r="J36" s="4"/>
      <c r="K36" s="4">
        <f>2.03+1.39</f>
        <v>3.42</v>
      </c>
      <c r="L36" s="4">
        <v>2.0</v>
      </c>
      <c r="M36" s="4">
        <v>5.5</v>
      </c>
      <c r="N36" s="4"/>
      <c r="O36" s="76" t="str">
        <f>'Queda de Tensão - QDL'!$A36</f>
        <v>QDL3-Lu1</v>
      </c>
      <c r="P36" s="77">
        <f t="shared" ref="P36:Q36" si="42">B36</f>
        <v>7.909090909</v>
      </c>
      <c r="Q36" s="77">
        <f t="shared" si="42"/>
        <v>11.92</v>
      </c>
      <c r="R36" s="76">
        <v>27.4</v>
      </c>
      <c r="S36" s="79">
        <f t="shared" ref="S36:S41" si="49">(Q36/1000)*P36*R36*(100/220)/100</f>
        <v>0.01174169256</v>
      </c>
      <c r="T36" s="80">
        <f>S36</f>
        <v>0.01174169256</v>
      </c>
      <c r="U36" s="4"/>
      <c r="V36" s="4"/>
      <c r="W36" s="4"/>
    </row>
    <row r="37" ht="15.75" customHeight="1">
      <c r="A37" s="62" t="s">
        <v>81</v>
      </c>
      <c r="B37" s="64">
        <f>($B$32*2)/$B$1</f>
        <v>2.636363636</v>
      </c>
      <c r="C37" s="62">
        <f t="shared" si="43"/>
        <v>5.59</v>
      </c>
      <c r="D37" s="62">
        <f t="shared" si="44"/>
        <v>0.0148137</v>
      </c>
      <c r="E37" s="62">
        <f t="shared" si="45"/>
        <v>0.0001378</v>
      </c>
      <c r="F37" s="62">
        <f>QDL!K$6</f>
        <v>0.95</v>
      </c>
      <c r="G37" s="64">
        <f t="shared" si="46"/>
        <v>0.4160639521</v>
      </c>
      <c r="H37" s="74">
        <f t="shared" si="47"/>
        <v>0.001891199782</v>
      </c>
      <c r="I37" s="74">
        <f t="shared" ref="I37:I38" si="50">I36+H37</f>
        <v>0.01398946529</v>
      </c>
      <c r="J37" s="4"/>
      <c r="K37" s="4">
        <v>5.59</v>
      </c>
      <c r="L37" s="4">
        <v>0.0</v>
      </c>
      <c r="M37" s="4">
        <v>0.0</v>
      </c>
      <c r="N37" s="4"/>
      <c r="O37" s="76" t="str">
        <f>'Queda de Tensão - QDL'!$A37</f>
        <v>Lu1-Lu2</v>
      </c>
      <c r="P37" s="77">
        <f t="shared" ref="P37:Q37" si="48">B37</f>
        <v>2.636363636</v>
      </c>
      <c r="Q37" s="77">
        <f t="shared" si="48"/>
        <v>5.59</v>
      </c>
      <c r="R37" s="76">
        <v>27.4</v>
      </c>
      <c r="S37" s="79">
        <f t="shared" si="49"/>
        <v>0.001835460331</v>
      </c>
      <c r="T37" s="80">
        <f t="shared" ref="T37:T38" si="52">T36+S37</f>
        <v>0.01357715289</v>
      </c>
      <c r="U37" s="4"/>
      <c r="V37" s="4"/>
      <c r="W37" s="4"/>
    </row>
    <row r="38" ht="15.75" customHeight="1">
      <c r="A38" s="62" t="s">
        <v>128</v>
      </c>
      <c r="B38" s="64">
        <f>($B$32*1)/$B$1</f>
        <v>1.318181818</v>
      </c>
      <c r="C38" s="62">
        <f t="shared" si="43"/>
        <v>6.3</v>
      </c>
      <c r="D38" s="62">
        <f t="shared" si="44"/>
        <v>0.0148137</v>
      </c>
      <c r="E38" s="62">
        <f t="shared" si="45"/>
        <v>0.0001378</v>
      </c>
      <c r="F38" s="62">
        <f>QDL!K$6</f>
        <v>0.95</v>
      </c>
      <c r="G38" s="64">
        <f t="shared" si="46"/>
        <v>0.2344546421</v>
      </c>
      <c r="H38" s="74">
        <f t="shared" si="47"/>
        <v>0.001065702918</v>
      </c>
      <c r="I38" s="74">
        <f t="shared" si="50"/>
        <v>0.01505516821</v>
      </c>
      <c r="J38" s="4"/>
      <c r="K38" s="4">
        <v>4.8</v>
      </c>
      <c r="L38" s="4">
        <v>1.0</v>
      </c>
      <c r="M38" s="4">
        <v>0.0</v>
      </c>
      <c r="N38" s="4"/>
      <c r="O38" s="76" t="str">
        <f>'Queda de Tensão - QDL'!$A38</f>
        <v>Lu2-Lu3*</v>
      </c>
      <c r="P38" s="77">
        <f t="shared" ref="P38:Q38" si="51">B38</f>
        <v>1.318181818</v>
      </c>
      <c r="Q38" s="77">
        <f t="shared" si="51"/>
        <v>6.3</v>
      </c>
      <c r="R38" s="76">
        <v>27.4</v>
      </c>
      <c r="S38" s="79">
        <f t="shared" si="49"/>
        <v>0.001034293388</v>
      </c>
      <c r="T38" s="80">
        <f t="shared" si="52"/>
        <v>0.01461144628</v>
      </c>
      <c r="U38" s="4"/>
      <c r="V38" s="4"/>
      <c r="W38" s="4"/>
    </row>
    <row r="39" ht="15.75" customHeight="1">
      <c r="A39" s="62" t="s">
        <v>129</v>
      </c>
      <c r="B39" s="64">
        <f>($B$32*3)/$B$1</f>
        <v>3.954545455</v>
      </c>
      <c r="C39" s="62">
        <f t="shared" si="43"/>
        <v>4.8</v>
      </c>
      <c r="D39" s="62">
        <f t="shared" si="44"/>
        <v>0.0148137</v>
      </c>
      <c r="E39" s="62">
        <f t="shared" si="45"/>
        <v>0.0001378</v>
      </c>
      <c r="F39" s="62">
        <f>QDL!K$6</f>
        <v>0.95</v>
      </c>
      <c r="G39" s="64">
        <f t="shared" si="46"/>
        <v>0.5358963247</v>
      </c>
      <c r="H39" s="74">
        <f t="shared" si="47"/>
        <v>0.002435892385</v>
      </c>
      <c r="I39" s="74">
        <f>I36+H39</f>
        <v>0.0145341579</v>
      </c>
      <c r="J39" s="4"/>
      <c r="K39" s="4">
        <v>4.8</v>
      </c>
      <c r="L39" s="4">
        <v>0.0</v>
      </c>
      <c r="M39" s="4">
        <v>0.0</v>
      </c>
      <c r="N39" s="4"/>
      <c r="O39" s="76" t="str">
        <f>'Queda de Tensão - QDL'!$A39</f>
        <v>Lu1-Lu4</v>
      </c>
      <c r="P39" s="77">
        <f t="shared" ref="P39:Q39" si="53">B39</f>
        <v>3.954545455</v>
      </c>
      <c r="Q39" s="77">
        <f t="shared" si="53"/>
        <v>4.8</v>
      </c>
      <c r="R39" s="76">
        <v>27.4</v>
      </c>
      <c r="S39" s="79">
        <f t="shared" si="49"/>
        <v>0.002364099174</v>
      </c>
      <c r="T39" s="80">
        <f>T36+S39</f>
        <v>0.01410579174</v>
      </c>
      <c r="U39" s="4"/>
      <c r="V39" s="4"/>
      <c r="W39" s="4"/>
    </row>
    <row r="40" ht="15.75" customHeight="1">
      <c r="A40" s="62" t="s">
        <v>105</v>
      </c>
      <c r="B40" s="64">
        <f>($B$32*2)/$B$1</f>
        <v>2.636363636</v>
      </c>
      <c r="C40" s="62">
        <f t="shared" si="43"/>
        <v>7.1</v>
      </c>
      <c r="D40" s="62">
        <f t="shared" si="44"/>
        <v>0.0148137</v>
      </c>
      <c r="E40" s="62">
        <f t="shared" si="45"/>
        <v>0.0001378</v>
      </c>
      <c r="F40" s="62">
        <f>QDL!K$6</f>
        <v>0.95</v>
      </c>
      <c r="G40" s="64">
        <f t="shared" si="46"/>
        <v>0.5284533202</v>
      </c>
      <c r="H40" s="74">
        <f t="shared" si="47"/>
        <v>0.002402060546</v>
      </c>
      <c r="I40" s="74">
        <f t="shared" ref="I40:I41" si="55">I39+H40</f>
        <v>0.01693621844</v>
      </c>
      <c r="J40" s="4"/>
      <c r="K40" s="4">
        <v>5.6</v>
      </c>
      <c r="L40" s="4">
        <v>1.0</v>
      </c>
      <c r="M40" s="4">
        <v>0.0</v>
      </c>
      <c r="N40" s="4"/>
      <c r="O40" s="76" t="str">
        <f>'Queda de Tensão - QDL'!$A40</f>
        <v>Lu4-Lu5</v>
      </c>
      <c r="P40" s="77">
        <f t="shared" ref="P40:Q40" si="54">B40</f>
        <v>2.636363636</v>
      </c>
      <c r="Q40" s="77">
        <f t="shared" si="54"/>
        <v>7.1</v>
      </c>
      <c r="R40" s="76">
        <v>27.4</v>
      </c>
      <c r="S40" s="79">
        <f t="shared" si="49"/>
        <v>0.002331264463</v>
      </c>
      <c r="T40" s="80">
        <f t="shared" ref="T40:T41" si="57">T39+S40</f>
        <v>0.0164370562</v>
      </c>
      <c r="U40" s="4"/>
      <c r="V40" s="4"/>
      <c r="W40" s="4"/>
    </row>
    <row r="41" ht="15.75" customHeight="1">
      <c r="A41" s="116" t="s">
        <v>130</v>
      </c>
      <c r="B41" s="117">
        <f>($B$32*1)/$B$1</f>
        <v>1.318181818</v>
      </c>
      <c r="C41" s="116">
        <f t="shared" si="43"/>
        <v>5.56</v>
      </c>
      <c r="D41" s="116">
        <f t="shared" si="44"/>
        <v>0.0148137</v>
      </c>
      <c r="E41" s="116">
        <f t="shared" si="45"/>
        <v>0.0001378</v>
      </c>
      <c r="F41" s="116">
        <f>QDL!K$6</f>
        <v>0.95</v>
      </c>
      <c r="G41" s="117">
        <f t="shared" si="46"/>
        <v>0.2069155254</v>
      </c>
      <c r="H41" s="118">
        <f t="shared" si="47"/>
        <v>0.0009405251154</v>
      </c>
      <c r="I41" s="118">
        <f t="shared" si="55"/>
        <v>0.01787674356</v>
      </c>
      <c r="J41" s="4"/>
      <c r="K41" s="4">
        <v>4.06</v>
      </c>
      <c r="L41" s="4">
        <v>1.0</v>
      </c>
      <c r="M41" s="4">
        <v>0.0</v>
      </c>
      <c r="N41" s="4"/>
      <c r="O41" s="76" t="str">
        <f>'Queda de Tensão - QDL'!$A41</f>
        <v>Lu5-Lu6*</v>
      </c>
      <c r="P41" s="77">
        <f t="shared" ref="P41:Q41" si="56">B41</f>
        <v>1.318181818</v>
      </c>
      <c r="Q41" s="77">
        <f t="shared" si="56"/>
        <v>5.56</v>
      </c>
      <c r="R41" s="76">
        <v>27.4</v>
      </c>
      <c r="S41" s="79">
        <f t="shared" si="49"/>
        <v>0.0009128049587</v>
      </c>
      <c r="T41" s="80">
        <f t="shared" si="57"/>
        <v>0.01734986116</v>
      </c>
      <c r="U41" s="4"/>
      <c r="V41" s="4"/>
      <c r="W41" s="4"/>
    </row>
    <row r="42" ht="15.75" customHeight="1">
      <c r="A42" s="70"/>
      <c r="B42" s="84"/>
      <c r="C42" s="70"/>
      <c r="D42" s="70"/>
      <c r="E42" s="70"/>
      <c r="F42" s="70"/>
      <c r="G42" s="84"/>
      <c r="H42" s="85"/>
      <c r="I42" s="85"/>
      <c r="J42" s="4"/>
      <c r="K42" s="4"/>
      <c r="L42" s="4"/>
      <c r="M42" s="4"/>
      <c r="N42" s="4"/>
      <c r="O42" s="70"/>
      <c r="P42" s="84"/>
      <c r="Q42" s="84"/>
      <c r="R42" s="70"/>
      <c r="S42" s="99"/>
      <c r="T42" s="85"/>
      <c r="U42" s="4"/>
      <c r="V42" s="4"/>
      <c r="W42" s="4"/>
    </row>
    <row r="43">
      <c r="A43" s="30" t="s">
        <v>115</v>
      </c>
      <c r="B43" s="33">
        <f>QDL!$H$19</f>
        <v>290</v>
      </c>
      <c r="C43" s="70"/>
      <c r="D43" s="70"/>
      <c r="E43" s="70"/>
      <c r="F43" s="70"/>
      <c r="G43" s="84"/>
      <c r="H43" s="85"/>
      <c r="I43" s="85"/>
      <c r="J43" s="4"/>
      <c r="K43" s="4"/>
      <c r="L43" s="4"/>
      <c r="M43" s="4"/>
      <c r="N43" s="4"/>
      <c r="O43" s="70"/>
      <c r="P43" s="84"/>
      <c r="Q43" s="84"/>
      <c r="R43" s="70"/>
      <c r="S43" s="99"/>
      <c r="T43" s="85"/>
      <c r="U43" s="4"/>
      <c r="V43" s="4"/>
      <c r="W43" s="4"/>
    </row>
    <row r="44">
      <c r="A44" s="30" t="s">
        <v>37</v>
      </c>
      <c r="B44" s="38">
        <v>8.0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70"/>
      <c r="P44" s="84"/>
      <c r="Q44" s="84"/>
      <c r="R44" s="70"/>
      <c r="S44" s="99"/>
      <c r="T44" s="85"/>
      <c r="U44" s="4"/>
      <c r="V44" s="4"/>
      <c r="W44" s="4"/>
    </row>
    <row r="45" ht="15.75" customHeight="1">
      <c r="A45" s="131" t="s">
        <v>164</v>
      </c>
      <c r="J45" s="4"/>
      <c r="K45" s="4"/>
      <c r="L45" s="4"/>
      <c r="M45" s="4"/>
      <c r="N45" s="4"/>
      <c r="O45" s="48" t="s">
        <v>164</v>
      </c>
      <c r="P45" s="2"/>
      <c r="Q45" s="2"/>
      <c r="R45" s="2"/>
      <c r="S45" s="2"/>
      <c r="T45" s="3"/>
      <c r="U45" s="4"/>
      <c r="V45" s="4"/>
      <c r="W45" s="4"/>
    </row>
    <row r="46" ht="15.75" customHeight="1">
      <c r="A46" s="52" t="s">
        <v>167</v>
      </c>
      <c r="B46" s="52" t="s">
        <v>44</v>
      </c>
      <c r="C46" s="52" t="s">
        <v>45</v>
      </c>
      <c r="D46" s="52" t="s">
        <v>46</v>
      </c>
      <c r="E46" s="52" t="s">
        <v>49</v>
      </c>
      <c r="F46" s="52" t="s">
        <v>51</v>
      </c>
      <c r="G46" s="52" t="s">
        <v>52</v>
      </c>
      <c r="H46" s="52" t="s">
        <v>53</v>
      </c>
      <c r="I46" s="52" t="s">
        <v>54</v>
      </c>
      <c r="J46" s="4"/>
      <c r="K46" s="57" t="s">
        <v>55</v>
      </c>
      <c r="L46" s="57" t="s">
        <v>56</v>
      </c>
      <c r="M46" s="57" t="s">
        <v>57</v>
      </c>
      <c r="N46" s="4"/>
      <c r="O46" s="137" t="str">
        <f t="shared" ref="O46:O55" si="58">A46</f>
        <v>Circuito L17</v>
      </c>
      <c r="P46" s="137" t="s">
        <v>32</v>
      </c>
      <c r="Q46" s="137" t="s">
        <v>45</v>
      </c>
      <c r="R46" s="137" t="s">
        <v>58</v>
      </c>
      <c r="S46" s="137" t="s">
        <v>53</v>
      </c>
      <c r="T46" s="137" t="s">
        <v>54</v>
      </c>
      <c r="U46" s="4"/>
      <c r="V46" s="4"/>
      <c r="W46" s="4"/>
    </row>
    <row r="47" ht="15.75" customHeight="1">
      <c r="A47" s="62" t="s">
        <v>177</v>
      </c>
      <c r="B47" s="64">
        <f t="shared" ref="B47:B48" si="60">($B$43*8)/$B$1</f>
        <v>10.54545455</v>
      </c>
      <c r="C47" s="62">
        <f t="shared" ref="C47:C55" si="61">K47+(L47*1.5)+M47</f>
        <v>9.23</v>
      </c>
      <c r="D47" s="62">
        <f t="shared" ref="D47:D55" si="62">14.8137*10^-3</f>
        <v>0.0148137</v>
      </c>
      <c r="E47" s="62">
        <f t="shared" ref="E47:E55" si="63">0.1378*10^-3</f>
        <v>0.0001378</v>
      </c>
      <c r="F47" s="62">
        <f>QDL!K$19</f>
        <v>0.95</v>
      </c>
      <c r="G47" s="64">
        <f t="shared" ref="G47:G55" si="64">2*B47*C47*(D47*F47+E47*SIN(ACOS(F47)))</f>
        <v>2.747957265</v>
      </c>
      <c r="H47" s="74">
        <f t="shared" ref="H47:H55" si="65">G47/220</f>
        <v>0.01249071484</v>
      </c>
      <c r="I47" s="74">
        <f>H47</f>
        <v>0.01249071484</v>
      </c>
      <c r="J47" s="4"/>
      <c r="K47" s="4">
        <v>2.23</v>
      </c>
      <c r="L47" s="4">
        <v>1.0</v>
      </c>
      <c r="M47" s="4">
        <v>5.5</v>
      </c>
      <c r="N47" s="4"/>
      <c r="O47" s="141" t="str">
        <f t="shared" si="58"/>
        <v>QDL4-Lu1</v>
      </c>
      <c r="P47" s="143">
        <f t="shared" ref="P47:Q47" si="59">B47</f>
        <v>10.54545455</v>
      </c>
      <c r="Q47" s="143">
        <f t="shared" si="59"/>
        <v>9.23</v>
      </c>
      <c r="R47" s="141">
        <v>27.4</v>
      </c>
      <c r="S47" s="145">
        <f t="shared" ref="S47:S55" si="67">(Q47/1000)*P47*R47*(100/220)/100</f>
        <v>0.01212257521</v>
      </c>
      <c r="T47" s="147">
        <f>S47</f>
        <v>0.01212257521</v>
      </c>
      <c r="U47" s="4"/>
      <c r="V47" s="4"/>
      <c r="W47" s="4"/>
    </row>
    <row r="48" ht="15.75" customHeight="1">
      <c r="A48" s="62" t="s">
        <v>181</v>
      </c>
      <c r="B48" s="64">
        <f t="shared" si="60"/>
        <v>10.54545455</v>
      </c>
      <c r="C48" s="62">
        <f t="shared" si="61"/>
        <v>4.06</v>
      </c>
      <c r="D48" s="62">
        <f t="shared" si="62"/>
        <v>0.0148137</v>
      </c>
      <c r="E48" s="62">
        <f t="shared" si="63"/>
        <v>0.0001378</v>
      </c>
      <c r="F48" s="62">
        <f>QDL!K$19</f>
        <v>0.95</v>
      </c>
      <c r="G48" s="64">
        <f t="shared" si="64"/>
        <v>1.208743932</v>
      </c>
      <c r="H48" s="74">
        <f t="shared" si="65"/>
        <v>0.005494290602</v>
      </c>
      <c r="I48" s="74">
        <f t="shared" ref="I48:I55" si="68">I47+H48</f>
        <v>0.01798500544</v>
      </c>
      <c r="J48" s="4"/>
      <c r="K48" s="4">
        <v>4.06</v>
      </c>
      <c r="L48" s="4">
        <v>0.0</v>
      </c>
      <c r="M48" s="4">
        <v>0.0</v>
      </c>
      <c r="N48" s="4"/>
      <c r="O48" s="141" t="str">
        <f t="shared" si="58"/>
        <v>Lu1-Lu9</v>
      </c>
      <c r="P48" s="143">
        <f t="shared" ref="P48:Q48" si="66">B48</f>
        <v>10.54545455</v>
      </c>
      <c r="Q48" s="143">
        <f t="shared" si="66"/>
        <v>4.06</v>
      </c>
      <c r="R48" s="141">
        <v>27.4</v>
      </c>
      <c r="S48" s="145">
        <f t="shared" si="67"/>
        <v>0.005332357025</v>
      </c>
      <c r="T48" s="147">
        <f t="shared" ref="T48:T51" si="70">T47+S48</f>
        <v>0.01745493223</v>
      </c>
      <c r="U48" s="4"/>
      <c r="V48" s="4"/>
      <c r="W48" s="4"/>
    </row>
    <row r="49" ht="15.75" customHeight="1">
      <c r="A49" s="62" t="s">
        <v>182</v>
      </c>
      <c r="B49" s="64">
        <f t="shared" ref="B49:B55" si="71">($B$43*3)/$B$1</f>
        <v>3.954545455</v>
      </c>
      <c r="C49" s="62">
        <f t="shared" si="61"/>
        <v>5.37</v>
      </c>
      <c r="D49" s="62">
        <f t="shared" si="62"/>
        <v>0.0148137</v>
      </c>
      <c r="E49" s="62">
        <f t="shared" si="63"/>
        <v>0.0001378</v>
      </c>
      <c r="F49" s="62">
        <f>QDL!K$19</f>
        <v>0.95</v>
      </c>
      <c r="G49" s="64">
        <f t="shared" si="64"/>
        <v>0.5995340133</v>
      </c>
      <c r="H49" s="74">
        <f t="shared" si="65"/>
        <v>0.002725154606</v>
      </c>
      <c r="I49" s="74">
        <f t="shared" si="68"/>
        <v>0.02071016005</v>
      </c>
      <c r="J49" s="4"/>
      <c r="K49" s="4">
        <v>3.87</v>
      </c>
      <c r="L49" s="4">
        <v>1.0</v>
      </c>
      <c r="M49" s="4">
        <v>0.0</v>
      </c>
      <c r="N49" s="4"/>
      <c r="O49" s="141" t="str">
        <f t="shared" si="58"/>
        <v>Lu9-Lu10</v>
      </c>
      <c r="P49" s="143">
        <f t="shared" ref="P49:Q49" si="69">B49</f>
        <v>3.954545455</v>
      </c>
      <c r="Q49" s="143">
        <f t="shared" si="69"/>
        <v>5.37</v>
      </c>
      <c r="R49" s="141">
        <v>27.4</v>
      </c>
      <c r="S49" s="145">
        <f t="shared" si="67"/>
        <v>0.00264483595</v>
      </c>
      <c r="T49" s="147">
        <f t="shared" si="70"/>
        <v>0.02009976818</v>
      </c>
      <c r="U49" s="4"/>
      <c r="V49" s="4"/>
      <c r="W49" s="4"/>
    </row>
    <row r="50" ht="15.75" customHeight="1">
      <c r="A50" s="62" t="s">
        <v>183</v>
      </c>
      <c r="B50" s="64">
        <f t="shared" si="71"/>
        <v>3.954545455</v>
      </c>
      <c r="C50" s="62">
        <f t="shared" si="61"/>
        <v>3.87</v>
      </c>
      <c r="D50" s="62">
        <f t="shared" si="62"/>
        <v>0.0148137</v>
      </c>
      <c r="E50" s="62">
        <f t="shared" si="63"/>
        <v>0.0001378</v>
      </c>
      <c r="F50" s="62">
        <f>QDL!K$19</f>
        <v>0.95</v>
      </c>
      <c r="G50" s="64">
        <f t="shared" si="64"/>
        <v>0.4320664118</v>
      </c>
      <c r="H50" s="74">
        <f t="shared" si="65"/>
        <v>0.001963938235</v>
      </c>
      <c r="I50" s="74">
        <f t="shared" si="68"/>
        <v>0.02267409828</v>
      </c>
      <c r="J50" s="4"/>
      <c r="K50" s="4">
        <v>3.87</v>
      </c>
      <c r="L50" s="4">
        <v>0.0</v>
      </c>
      <c r="M50" s="4">
        <v>0.0</v>
      </c>
      <c r="N50" s="4"/>
      <c r="O50" s="141" t="str">
        <f t="shared" si="58"/>
        <v>Lu10-Lu11</v>
      </c>
      <c r="P50" s="143">
        <f t="shared" ref="P50:Q50" si="72">B50</f>
        <v>3.954545455</v>
      </c>
      <c r="Q50" s="143">
        <f t="shared" si="72"/>
        <v>3.87</v>
      </c>
      <c r="R50" s="141">
        <v>27.4</v>
      </c>
      <c r="S50" s="145">
        <f t="shared" si="67"/>
        <v>0.001906054959</v>
      </c>
      <c r="T50" s="147">
        <f t="shared" si="70"/>
        <v>0.02200582314</v>
      </c>
      <c r="U50" s="4"/>
      <c r="V50" s="4"/>
      <c r="W50" s="4"/>
    </row>
    <row r="51" ht="15.75" customHeight="1">
      <c r="A51" s="62" t="s">
        <v>184</v>
      </c>
      <c r="B51" s="64">
        <f t="shared" si="71"/>
        <v>3.954545455</v>
      </c>
      <c r="C51" s="62">
        <f t="shared" si="61"/>
        <v>3.87</v>
      </c>
      <c r="D51" s="62">
        <f t="shared" si="62"/>
        <v>0.0148137</v>
      </c>
      <c r="E51" s="62">
        <f t="shared" si="63"/>
        <v>0.0001378</v>
      </c>
      <c r="F51" s="62">
        <f>QDL!K$19</f>
        <v>0.95</v>
      </c>
      <c r="G51" s="64">
        <f t="shared" si="64"/>
        <v>0.4320664118</v>
      </c>
      <c r="H51" s="74">
        <f t="shared" si="65"/>
        <v>0.001963938235</v>
      </c>
      <c r="I51" s="74">
        <f t="shared" si="68"/>
        <v>0.02463803652</v>
      </c>
      <c r="J51" s="4"/>
      <c r="K51" s="4">
        <v>3.87</v>
      </c>
      <c r="L51" s="4">
        <v>0.0</v>
      </c>
      <c r="M51" s="4">
        <v>0.0</v>
      </c>
      <c r="N51" s="4"/>
      <c r="O51" s="141" t="str">
        <f t="shared" si="58"/>
        <v>Lu11-Lu12*</v>
      </c>
      <c r="P51" s="143">
        <f t="shared" ref="P51:Q51" si="73">B51</f>
        <v>3.954545455</v>
      </c>
      <c r="Q51" s="143">
        <f t="shared" si="73"/>
        <v>3.87</v>
      </c>
      <c r="R51" s="141">
        <v>27.4</v>
      </c>
      <c r="S51" s="145">
        <f t="shared" si="67"/>
        <v>0.001906054959</v>
      </c>
      <c r="T51" s="147">
        <f t="shared" si="70"/>
        <v>0.0239118781</v>
      </c>
      <c r="U51" s="4"/>
      <c r="V51" s="4"/>
      <c r="W51" s="4"/>
    </row>
    <row r="52" ht="15.75" customHeight="1">
      <c r="A52" s="62" t="s">
        <v>187</v>
      </c>
      <c r="B52" s="64">
        <f t="shared" si="71"/>
        <v>3.954545455</v>
      </c>
      <c r="C52" s="62">
        <f t="shared" si="61"/>
        <v>5.37</v>
      </c>
      <c r="D52" s="62">
        <f t="shared" si="62"/>
        <v>0.0148137</v>
      </c>
      <c r="E52" s="62">
        <f t="shared" si="63"/>
        <v>0.0001378</v>
      </c>
      <c r="F52" s="62">
        <f>QDL!K$19</f>
        <v>0.95</v>
      </c>
      <c r="G52" s="64">
        <f t="shared" si="64"/>
        <v>0.5995340133</v>
      </c>
      <c r="H52" s="74">
        <f t="shared" si="65"/>
        <v>0.002725154606</v>
      </c>
      <c r="I52" s="74">
        <f t="shared" si="68"/>
        <v>0.02736319113</v>
      </c>
      <c r="J52" s="4"/>
      <c r="K52" s="4">
        <v>3.87</v>
      </c>
      <c r="L52" s="4">
        <v>1.0</v>
      </c>
      <c r="M52" s="4">
        <v>0.0</v>
      </c>
      <c r="N52" s="4"/>
      <c r="O52" s="141" t="str">
        <f t="shared" si="58"/>
        <v>Lu9-Lu13</v>
      </c>
      <c r="P52" s="143">
        <f t="shared" ref="P52:Q52" si="74">B52</f>
        <v>3.954545455</v>
      </c>
      <c r="Q52" s="143">
        <f t="shared" si="74"/>
        <v>5.37</v>
      </c>
      <c r="R52" s="141">
        <v>27.4</v>
      </c>
      <c r="S52" s="145">
        <f t="shared" si="67"/>
        <v>0.00264483595</v>
      </c>
      <c r="T52" s="147">
        <f>T48+S52</f>
        <v>0.02009976818</v>
      </c>
      <c r="U52" s="4"/>
      <c r="V52" s="4"/>
      <c r="W52" s="4"/>
    </row>
    <row r="53" ht="15.75" customHeight="1">
      <c r="A53" s="62" t="s">
        <v>189</v>
      </c>
      <c r="B53" s="64">
        <f t="shared" si="71"/>
        <v>3.954545455</v>
      </c>
      <c r="C53" s="62">
        <f t="shared" si="61"/>
        <v>3.87</v>
      </c>
      <c r="D53" s="62">
        <f t="shared" si="62"/>
        <v>0.0148137</v>
      </c>
      <c r="E53" s="62">
        <f t="shared" si="63"/>
        <v>0.0001378</v>
      </c>
      <c r="F53" s="62">
        <f>QDL!K$19</f>
        <v>0.95</v>
      </c>
      <c r="G53" s="64">
        <f t="shared" si="64"/>
        <v>0.4320664118</v>
      </c>
      <c r="H53" s="74">
        <f t="shared" si="65"/>
        <v>0.001963938235</v>
      </c>
      <c r="I53" s="74">
        <f t="shared" si="68"/>
        <v>0.02932712936</v>
      </c>
      <c r="J53" s="4"/>
      <c r="K53" s="4">
        <v>3.87</v>
      </c>
      <c r="L53" s="4">
        <v>0.0</v>
      </c>
      <c r="M53" s="4">
        <v>0.0</v>
      </c>
      <c r="N53" s="4"/>
      <c r="O53" s="141" t="str">
        <f t="shared" si="58"/>
        <v>Lu13-Lu14</v>
      </c>
      <c r="P53" s="143">
        <f t="shared" ref="P53:Q53" si="75">B53</f>
        <v>3.954545455</v>
      </c>
      <c r="Q53" s="143">
        <f t="shared" si="75"/>
        <v>3.87</v>
      </c>
      <c r="R53" s="141">
        <v>27.4</v>
      </c>
      <c r="S53" s="145">
        <f t="shared" si="67"/>
        <v>0.001906054959</v>
      </c>
      <c r="T53" s="147">
        <f t="shared" ref="T53:T55" si="77">T52+S53</f>
        <v>0.02200582314</v>
      </c>
      <c r="U53" s="4"/>
      <c r="V53" s="4"/>
      <c r="W53" s="4"/>
    </row>
    <row r="54" ht="15.75" customHeight="1">
      <c r="A54" s="62" t="s">
        <v>190</v>
      </c>
      <c r="B54" s="64">
        <f t="shared" si="71"/>
        <v>3.954545455</v>
      </c>
      <c r="C54" s="62">
        <f t="shared" si="61"/>
        <v>3.87</v>
      </c>
      <c r="D54" s="62">
        <f t="shared" si="62"/>
        <v>0.0148137</v>
      </c>
      <c r="E54" s="62">
        <f t="shared" si="63"/>
        <v>0.0001378</v>
      </c>
      <c r="F54" s="62">
        <f>QDL!K$19</f>
        <v>0.95</v>
      </c>
      <c r="G54" s="64">
        <f t="shared" si="64"/>
        <v>0.4320664118</v>
      </c>
      <c r="H54" s="74">
        <f t="shared" si="65"/>
        <v>0.001963938235</v>
      </c>
      <c r="I54" s="74">
        <f t="shared" si="68"/>
        <v>0.0312910676</v>
      </c>
      <c r="J54" s="4"/>
      <c r="K54" s="4">
        <v>3.87</v>
      </c>
      <c r="L54" s="4">
        <v>0.0</v>
      </c>
      <c r="M54" s="4">
        <v>0.0</v>
      </c>
      <c r="N54" s="4"/>
      <c r="O54" s="141" t="str">
        <f t="shared" si="58"/>
        <v>Lu14-Lu15</v>
      </c>
      <c r="P54" s="143">
        <f t="shared" ref="P54:Q54" si="76">B54</f>
        <v>3.954545455</v>
      </c>
      <c r="Q54" s="143">
        <f t="shared" si="76"/>
        <v>3.87</v>
      </c>
      <c r="R54" s="141">
        <v>27.4</v>
      </c>
      <c r="S54" s="145">
        <f t="shared" si="67"/>
        <v>0.001906054959</v>
      </c>
      <c r="T54" s="147">
        <f t="shared" si="77"/>
        <v>0.0239118781</v>
      </c>
      <c r="U54" s="4"/>
      <c r="V54" s="4"/>
      <c r="W54" s="4"/>
    </row>
    <row r="55" ht="15.75" customHeight="1">
      <c r="A55" s="116" t="s">
        <v>191</v>
      </c>
      <c r="B55" s="117">
        <f t="shared" si="71"/>
        <v>3.954545455</v>
      </c>
      <c r="C55" s="116">
        <f t="shared" si="61"/>
        <v>3.87</v>
      </c>
      <c r="D55" s="116">
        <f t="shared" si="62"/>
        <v>0.0148137</v>
      </c>
      <c r="E55" s="116">
        <f t="shared" si="63"/>
        <v>0.0001378</v>
      </c>
      <c r="F55" s="116">
        <f>QDL!K$19</f>
        <v>0.95</v>
      </c>
      <c r="G55" s="117">
        <f t="shared" si="64"/>
        <v>0.4320664118</v>
      </c>
      <c r="H55" s="118">
        <f t="shared" si="65"/>
        <v>0.001963938235</v>
      </c>
      <c r="I55" s="118">
        <f t="shared" si="68"/>
        <v>0.03325500583</v>
      </c>
      <c r="J55" s="4"/>
      <c r="K55" s="4">
        <v>3.87</v>
      </c>
      <c r="L55" s="4">
        <v>0.0</v>
      </c>
      <c r="M55" s="4">
        <v>0.0</v>
      </c>
      <c r="N55" s="4"/>
      <c r="O55" s="86" t="str">
        <f t="shared" si="58"/>
        <v>Lu15-Lu16</v>
      </c>
      <c r="P55" s="88">
        <f t="shared" ref="P55:Q55" si="78">B55</f>
        <v>3.954545455</v>
      </c>
      <c r="Q55" s="88">
        <f t="shared" si="78"/>
        <v>3.87</v>
      </c>
      <c r="R55" s="86">
        <v>27.4</v>
      </c>
      <c r="S55" s="89">
        <f t="shared" si="67"/>
        <v>0.001906054959</v>
      </c>
      <c r="T55" s="91">
        <f t="shared" si="77"/>
        <v>0.02581793306</v>
      </c>
      <c r="U55" s="4"/>
      <c r="V55" s="4"/>
      <c r="W55" s="4"/>
    </row>
    <row r="56" ht="15.75" customHeight="1">
      <c r="A56" s="70"/>
      <c r="B56" s="84"/>
      <c r="C56" s="70"/>
      <c r="D56" s="70"/>
      <c r="E56" s="70"/>
      <c r="F56" s="70"/>
      <c r="G56" s="84"/>
      <c r="H56" s="85"/>
      <c r="I56" s="85"/>
      <c r="J56" s="4"/>
      <c r="K56" s="4"/>
      <c r="L56" s="4"/>
      <c r="M56" s="4"/>
      <c r="N56" s="4"/>
      <c r="O56" s="70"/>
      <c r="P56" s="84"/>
      <c r="Q56" s="84"/>
      <c r="R56" s="70"/>
      <c r="S56" s="99"/>
      <c r="T56" s="85"/>
      <c r="U56" s="4"/>
      <c r="V56" s="4"/>
      <c r="W56" s="4"/>
    </row>
    <row r="57">
      <c r="A57" s="30" t="s">
        <v>115</v>
      </c>
      <c r="B57" s="33">
        <f>QDL!$H$21</f>
        <v>90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30" t="s">
        <v>37</v>
      </c>
      <c r="B58" s="38">
        <f>QDL!$G$21</f>
        <v>4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ht="15.75" customHeight="1">
      <c r="A59" s="159" t="s">
        <v>120</v>
      </c>
      <c r="B59" s="160"/>
      <c r="C59" s="160"/>
      <c r="D59" s="160"/>
      <c r="E59" s="160"/>
      <c r="F59" s="160"/>
      <c r="G59" s="160"/>
      <c r="H59" s="160"/>
      <c r="I59" s="160"/>
      <c r="J59" s="4"/>
      <c r="K59" s="4"/>
      <c r="L59" s="4"/>
      <c r="M59" s="4"/>
      <c r="N59" s="4"/>
      <c r="O59" s="162" t="s">
        <v>120</v>
      </c>
      <c r="P59" s="163"/>
      <c r="Q59" s="163"/>
      <c r="R59" s="163"/>
      <c r="S59" s="163"/>
      <c r="T59" s="165"/>
      <c r="U59" s="4"/>
      <c r="V59" s="4"/>
      <c r="W59" s="4"/>
    </row>
    <row r="60" ht="15.75" customHeight="1">
      <c r="A60" s="52" t="s">
        <v>208</v>
      </c>
      <c r="B60" s="52" t="s">
        <v>44</v>
      </c>
      <c r="C60" s="52" t="s">
        <v>45</v>
      </c>
      <c r="D60" s="52" t="s">
        <v>46</v>
      </c>
      <c r="E60" s="52" t="s">
        <v>49</v>
      </c>
      <c r="F60" s="52" t="s">
        <v>51</v>
      </c>
      <c r="G60" s="52" t="s">
        <v>52</v>
      </c>
      <c r="H60" s="52" t="s">
        <v>53</v>
      </c>
      <c r="I60" s="52" t="s">
        <v>54</v>
      </c>
      <c r="J60" s="4"/>
      <c r="K60" s="57" t="s">
        <v>55</v>
      </c>
      <c r="L60" s="57" t="s">
        <v>56</v>
      </c>
      <c r="M60" s="57" t="s">
        <v>57</v>
      </c>
      <c r="N60" s="4"/>
      <c r="O60" s="59" t="s">
        <v>209</v>
      </c>
      <c r="P60" s="59" t="s">
        <v>32</v>
      </c>
      <c r="Q60" s="59" t="s">
        <v>45</v>
      </c>
      <c r="R60" s="59" t="s">
        <v>58</v>
      </c>
      <c r="S60" s="59" t="s">
        <v>53</v>
      </c>
      <c r="T60" s="59" t="s">
        <v>54</v>
      </c>
      <c r="U60" s="4"/>
      <c r="V60" s="4"/>
      <c r="W60" s="4"/>
    </row>
    <row r="61" ht="15.75" customHeight="1">
      <c r="A61" s="62" t="s">
        <v>212</v>
      </c>
      <c r="B61" s="64">
        <f>($B$57*4)/$B$1</f>
        <v>1.636363636</v>
      </c>
      <c r="C61" s="64">
        <f t="shared" ref="C61:C64" si="79">(K61+1.5*L61+M61)</f>
        <v>8.54</v>
      </c>
      <c r="D61" s="62">
        <f t="shared" ref="D61:D64" si="80">14.8137*10^-3</f>
        <v>0.0148137</v>
      </c>
      <c r="E61" s="62">
        <f t="shared" ref="E61:E64" si="81">0.1378*10^-3</f>
        <v>0.0001378</v>
      </c>
      <c r="F61" s="62">
        <f>QDL!K$21</f>
        <v>0.98</v>
      </c>
      <c r="G61" s="64">
        <f t="shared" ref="G61:G64" si="82">2*B61*C61*(D61*F61+E61*SIN(ACOS(F61)))</f>
        <v>0.4065152749</v>
      </c>
      <c r="H61" s="74">
        <f t="shared" ref="H61:H64" si="83">G61/220</f>
        <v>0.001847796704</v>
      </c>
      <c r="I61" s="74">
        <f>H61</f>
        <v>0.001847796704</v>
      </c>
      <c r="J61" s="4"/>
      <c r="K61" s="110">
        <f>0.67+1.87</f>
        <v>2.54</v>
      </c>
      <c r="L61" s="17">
        <v>3.0</v>
      </c>
      <c r="M61" s="17">
        <v>1.5</v>
      </c>
      <c r="N61" s="4"/>
      <c r="O61" s="76" t="str">
        <f t="shared" ref="O61:O64" si="84">A61</f>
        <v>QDL5-Lu1</v>
      </c>
      <c r="P61" s="77">
        <f>QDL!H46</f>
        <v>1.636363636</v>
      </c>
      <c r="Q61" s="77">
        <f t="shared" ref="Q61:Q64" si="85">(K61+1.5*L61+M61)</f>
        <v>8.54</v>
      </c>
      <c r="R61" s="76">
        <v>27.4</v>
      </c>
      <c r="S61" s="79">
        <f t="shared" ref="S61:S64" si="86">(Q61/1000)*P61*R61*(100/220)/100</f>
        <v>0.001740466116</v>
      </c>
      <c r="T61" s="80">
        <f>S61</f>
        <v>0.001740466116</v>
      </c>
      <c r="U61" s="4"/>
      <c r="V61" s="4"/>
      <c r="W61" s="4"/>
    </row>
    <row r="62" ht="15.75" customHeight="1">
      <c r="A62" s="62" t="s">
        <v>76</v>
      </c>
      <c r="B62" s="64">
        <f t="shared" ref="B62:B63" si="87">($B$57*2)/$B$1</f>
        <v>0.8181818182</v>
      </c>
      <c r="C62" s="64">
        <f t="shared" si="79"/>
        <v>3.53</v>
      </c>
      <c r="D62" s="62">
        <f t="shared" si="80"/>
        <v>0.0148137</v>
      </c>
      <c r="E62" s="62">
        <f t="shared" si="81"/>
        <v>0.0001378</v>
      </c>
      <c r="F62" s="62">
        <f>QDL!K$21</f>
        <v>0.98</v>
      </c>
      <c r="G62" s="64">
        <f t="shared" si="82"/>
        <v>0.08401633024</v>
      </c>
      <c r="H62" s="74">
        <f t="shared" si="83"/>
        <v>0.0003818924102</v>
      </c>
      <c r="I62" s="74">
        <f>I61+H62</f>
        <v>0.002229689114</v>
      </c>
      <c r="J62" s="4"/>
      <c r="K62" s="110">
        <v>2.03</v>
      </c>
      <c r="L62" s="17">
        <v>1.0</v>
      </c>
      <c r="M62" s="17">
        <v>0.0</v>
      </c>
      <c r="N62" s="4"/>
      <c r="O62" s="76" t="str">
        <f t="shared" si="84"/>
        <v>Lu1-Lu2*</v>
      </c>
      <c r="P62" s="77">
        <f>(70*4)/220</f>
        <v>1.272727273</v>
      </c>
      <c r="Q62" s="77">
        <f t="shared" si="85"/>
        <v>3.53</v>
      </c>
      <c r="R62" s="76">
        <v>27.4</v>
      </c>
      <c r="S62" s="79">
        <f t="shared" si="86"/>
        <v>0.0005595487603</v>
      </c>
      <c r="T62" s="80">
        <f>T61+S62</f>
        <v>0.002300014876</v>
      </c>
      <c r="U62" s="4"/>
      <c r="V62" s="4"/>
      <c r="W62" s="4"/>
    </row>
    <row r="63" ht="15.75" customHeight="1">
      <c r="A63" s="62" t="s">
        <v>83</v>
      </c>
      <c r="B63" s="64">
        <f t="shared" si="87"/>
        <v>0.8181818182</v>
      </c>
      <c r="C63" s="64">
        <f t="shared" si="79"/>
        <v>3.53</v>
      </c>
      <c r="D63" s="62">
        <f t="shared" si="80"/>
        <v>0.0148137</v>
      </c>
      <c r="E63" s="62">
        <f t="shared" si="81"/>
        <v>0.0001378</v>
      </c>
      <c r="F63" s="62">
        <f>QDL!K$21</f>
        <v>0.98</v>
      </c>
      <c r="G63" s="64">
        <f t="shared" si="82"/>
        <v>0.08401633024</v>
      </c>
      <c r="H63" s="74">
        <f t="shared" si="83"/>
        <v>0.0003818924102</v>
      </c>
      <c r="I63" s="74">
        <f>I61+H63</f>
        <v>0.002229689114</v>
      </c>
      <c r="J63" s="4"/>
      <c r="K63" s="110">
        <v>2.03</v>
      </c>
      <c r="L63" s="17">
        <v>1.0</v>
      </c>
      <c r="M63" s="17">
        <v>0.0</v>
      </c>
      <c r="N63" s="4"/>
      <c r="O63" s="76" t="str">
        <f t="shared" si="84"/>
        <v>Lu1-Lu3</v>
      </c>
      <c r="P63" s="77">
        <f>(70*3)/220</f>
        <v>0.9545454545</v>
      </c>
      <c r="Q63" s="77">
        <f t="shared" si="85"/>
        <v>3.53</v>
      </c>
      <c r="R63" s="76">
        <v>27.4</v>
      </c>
      <c r="S63" s="79">
        <f t="shared" si="86"/>
        <v>0.0004196615702</v>
      </c>
      <c r="T63" s="80">
        <f>T61+S63</f>
        <v>0.002160127686</v>
      </c>
      <c r="U63" s="4"/>
      <c r="V63" s="4"/>
      <c r="W63" s="4"/>
    </row>
    <row r="64">
      <c r="A64" s="116" t="s">
        <v>121</v>
      </c>
      <c r="B64" s="117">
        <f>($B$57*1)/$B$1</f>
        <v>0.4090909091</v>
      </c>
      <c r="C64" s="117">
        <f t="shared" si="79"/>
        <v>2.03</v>
      </c>
      <c r="D64" s="116">
        <f t="shared" si="80"/>
        <v>0.0148137</v>
      </c>
      <c r="E64" s="116">
        <f t="shared" si="81"/>
        <v>0.0001378</v>
      </c>
      <c r="F64" s="116">
        <f>QDL!K$21</f>
        <v>0.98</v>
      </c>
      <c r="G64" s="117">
        <f t="shared" si="82"/>
        <v>0.02415767003</v>
      </c>
      <c r="H64" s="118">
        <f t="shared" si="83"/>
        <v>0.000109807591</v>
      </c>
      <c r="I64" s="118">
        <f>I63+H64</f>
        <v>0.002339496705</v>
      </c>
      <c r="J64" s="4"/>
      <c r="K64" s="110">
        <v>2.03</v>
      </c>
      <c r="L64" s="17">
        <v>0.0</v>
      </c>
      <c r="M64" s="17">
        <v>0.0</v>
      </c>
      <c r="N64" s="4"/>
      <c r="O64" s="76" t="str">
        <f t="shared" si="84"/>
        <v>Lu3-Lu4*</v>
      </c>
      <c r="P64" s="77">
        <f>(70*2)/220</f>
        <v>0.6363636364</v>
      </c>
      <c r="Q64" s="77">
        <f t="shared" si="85"/>
        <v>2.03</v>
      </c>
      <c r="R64" s="76">
        <v>27.4</v>
      </c>
      <c r="S64" s="79">
        <f t="shared" si="86"/>
        <v>0.0001608900826</v>
      </c>
      <c r="T64" s="80">
        <f>T63+S64</f>
        <v>0.002321017769</v>
      </c>
      <c r="U64" s="4"/>
      <c r="V64" s="4"/>
      <c r="W64" s="4"/>
    </row>
    <row r="65">
      <c r="A65" s="70"/>
      <c r="B65" s="84"/>
      <c r="C65" s="84"/>
      <c r="D65" s="70"/>
      <c r="E65" s="70"/>
      <c r="F65" s="70"/>
      <c r="G65" s="84"/>
      <c r="H65" s="85"/>
      <c r="I65" s="85"/>
      <c r="J65" s="4"/>
      <c r="K65" s="78"/>
      <c r="L65" s="70"/>
      <c r="M65" s="70"/>
      <c r="N65" s="4"/>
      <c r="O65" s="70"/>
      <c r="P65" s="84"/>
      <c r="Q65" s="84"/>
      <c r="R65" s="70"/>
      <c r="S65" s="99"/>
      <c r="T65" s="85"/>
      <c r="U65" s="4"/>
      <c r="V65" s="4"/>
      <c r="W65" s="4"/>
    </row>
    <row r="66">
      <c r="A66" s="30" t="s">
        <v>115</v>
      </c>
      <c r="B66" s="33">
        <f>QDL!$H$22</f>
        <v>90</v>
      </c>
      <c r="C66" s="84"/>
      <c r="D66" s="70"/>
      <c r="E66" s="70"/>
      <c r="F66" s="70"/>
      <c r="G66" s="84"/>
      <c r="H66" s="85"/>
      <c r="I66" s="85"/>
      <c r="J66" s="4"/>
      <c r="K66" s="78"/>
      <c r="L66" s="70"/>
      <c r="M66" s="70"/>
      <c r="N66" s="4"/>
      <c r="O66" s="70"/>
      <c r="P66" s="84"/>
      <c r="Q66" s="84"/>
      <c r="R66" s="70"/>
      <c r="S66" s="99"/>
      <c r="T66" s="85"/>
      <c r="U66" s="4"/>
      <c r="V66" s="4"/>
      <c r="W66" s="4"/>
    </row>
    <row r="67">
      <c r="A67" s="30" t="s">
        <v>37</v>
      </c>
      <c r="B67" s="38">
        <f>QDL!$G$22</f>
        <v>6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ht="15.75" customHeight="1">
      <c r="A68" s="159" t="s">
        <v>228</v>
      </c>
      <c r="B68" s="160"/>
      <c r="C68" s="160"/>
      <c r="D68" s="160"/>
      <c r="E68" s="160"/>
      <c r="F68" s="160"/>
      <c r="G68" s="160"/>
      <c r="H68" s="160"/>
      <c r="I68" s="160"/>
      <c r="J68" s="4"/>
      <c r="K68" s="4"/>
      <c r="L68" s="4"/>
      <c r="M68" s="4"/>
      <c r="N68" s="4"/>
      <c r="O68" s="202" t="s">
        <v>228</v>
      </c>
      <c r="P68" s="2"/>
      <c r="Q68" s="2"/>
      <c r="R68" s="2"/>
      <c r="S68" s="2"/>
      <c r="T68" s="3"/>
      <c r="U68" s="4"/>
      <c r="V68" s="4"/>
      <c r="W68" s="4"/>
    </row>
    <row r="69" ht="15.75" customHeight="1">
      <c r="A69" s="204" t="s">
        <v>229</v>
      </c>
      <c r="B69" s="52" t="s">
        <v>44</v>
      </c>
      <c r="C69" s="52" t="s">
        <v>45</v>
      </c>
      <c r="D69" s="52" t="s">
        <v>46</v>
      </c>
      <c r="E69" s="52" t="s">
        <v>49</v>
      </c>
      <c r="F69" s="52" t="s">
        <v>51</v>
      </c>
      <c r="G69" s="52" t="s">
        <v>52</v>
      </c>
      <c r="H69" s="52" t="s">
        <v>53</v>
      </c>
      <c r="I69" s="52" t="s">
        <v>54</v>
      </c>
      <c r="J69" s="4"/>
      <c r="K69" s="57" t="s">
        <v>55</v>
      </c>
      <c r="L69" s="57" t="s">
        <v>56</v>
      </c>
      <c r="M69" s="57" t="s">
        <v>57</v>
      </c>
      <c r="N69" s="4"/>
      <c r="O69" s="206" t="str">
        <f t="shared" ref="O69:O75" si="88">A69</f>
        <v>Circuito L19</v>
      </c>
      <c r="P69" s="206" t="s">
        <v>32</v>
      </c>
      <c r="Q69" s="206" t="s">
        <v>45</v>
      </c>
      <c r="R69" s="206" t="s">
        <v>58</v>
      </c>
      <c r="S69" s="206" t="s">
        <v>53</v>
      </c>
      <c r="T69" s="206" t="s">
        <v>54</v>
      </c>
      <c r="U69" s="4"/>
      <c r="V69" s="4"/>
      <c r="W69" s="4"/>
    </row>
    <row r="70" ht="15.75" customHeight="1">
      <c r="A70" s="62" t="s">
        <v>234</v>
      </c>
      <c r="B70" s="64">
        <f>($B$66*6)/$B$1</f>
        <v>2.454545455</v>
      </c>
      <c r="C70" s="64">
        <f t="shared" ref="C70:C75" si="90">(K70+1.5*L70+M70)</f>
        <v>19.93</v>
      </c>
      <c r="D70" s="62">
        <f t="shared" ref="D70:D75" si="91">14.8137*10^-3</f>
        <v>0.0148137</v>
      </c>
      <c r="E70" s="62">
        <f t="shared" ref="E70:E75" si="92">0.1378*10^-3</f>
        <v>0.0001378</v>
      </c>
      <c r="F70" s="62">
        <f>QDL!K$22</f>
        <v>0.98</v>
      </c>
      <c r="G70" s="64">
        <f t="shared" ref="G70:G75" si="93">2*B70*C70*(D70*F70+E70*SIN(ACOS(F70)))</f>
        <v>1.423041469</v>
      </c>
      <c r="H70" s="74">
        <f t="shared" ref="H70:H75" si="94">G70/220</f>
        <v>0.006468370313</v>
      </c>
      <c r="I70" s="74">
        <f>H70</f>
        <v>0.006468370313</v>
      </c>
      <c r="J70" s="4"/>
      <c r="K70" s="110">
        <f>1.44+1.24+6.22+0.55+0.63+0.85</f>
        <v>10.93</v>
      </c>
      <c r="L70" s="17">
        <v>5.0</v>
      </c>
      <c r="M70" s="17">
        <v>1.5</v>
      </c>
      <c r="N70" s="4"/>
      <c r="O70" s="86" t="str">
        <f t="shared" si="88"/>
        <v>QDL6-Lu1</v>
      </c>
      <c r="P70" s="88">
        <f t="shared" ref="P70:Q70" si="89">B70</f>
        <v>2.454545455</v>
      </c>
      <c r="Q70" s="88">
        <f t="shared" si="89"/>
        <v>19.93</v>
      </c>
      <c r="R70" s="86">
        <v>27.4</v>
      </c>
      <c r="S70" s="89">
        <f t="shared" ref="S70:S75" si="96">(Q70/1000)*P70*R70*(100/220)/100</f>
        <v>0.006092650413</v>
      </c>
      <c r="T70" s="91">
        <f>S70</f>
        <v>0.006092650413</v>
      </c>
      <c r="U70" s="4"/>
      <c r="V70" s="4"/>
      <c r="W70" s="4"/>
    </row>
    <row r="71" ht="15.75" customHeight="1">
      <c r="A71" s="62" t="s">
        <v>81</v>
      </c>
      <c r="B71" s="64">
        <f>($B$66*2)/$B$1</f>
        <v>0.8181818182</v>
      </c>
      <c r="C71" s="64">
        <f t="shared" si="90"/>
        <v>2</v>
      </c>
      <c r="D71" s="62">
        <f t="shared" si="91"/>
        <v>0.0148137</v>
      </c>
      <c r="E71" s="62">
        <f t="shared" si="92"/>
        <v>0.0001378</v>
      </c>
      <c r="F71" s="62">
        <f>QDL!K$22</f>
        <v>0.98</v>
      </c>
      <c r="G71" s="64">
        <f t="shared" si="93"/>
        <v>0.04760132025</v>
      </c>
      <c r="H71" s="74">
        <f t="shared" si="94"/>
        <v>0.0002163696375</v>
      </c>
      <c r="I71" s="74">
        <f t="shared" ref="I71:I72" si="97">I70+H71</f>
        <v>0.00668473995</v>
      </c>
      <c r="J71" s="4"/>
      <c r="K71" s="110">
        <f>2</f>
        <v>2</v>
      </c>
      <c r="L71" s="17">
        <v>0.0</v>
      </c>
      <c r="M71" s="17">
        <v>0.0</v>
      </c>
      <c r="N71" s="4"/>
      <c r="O71" s="86" t="str">
        <f t="shared" si="88"/>
        <v>Lu1-Lu2</v>
      </c>
      <c r="P71" s="88">
        <f t="shared" ref="P71:Q71" si="95">B71</f>
        <v>0.8181818182</v>
      </c>
      <c r="Q71" s="88">
        <f t="shared" si="95"/>
        <v>2</v>
      </c>
      <c r="R71" s="86">
        <v>28.4</v>
      </c>
      <c r="S71" s="89">
        <f t="shared" si="96"/>
        <v>0.0002112396694</v>
      </c>
      <c r="T71" s="91">
        <f t="shared" ref="T71:T72" si="99">T70+S71</f>
        <v>0.006303890083</v>
      </c>
      <c r="U71" s="4"/>
      <c r="V71" s="4"/>
      <c r="W71" s="4"/>
    </row>
    <row r="72" ht="15.75" customHeight="1">
      <c r="A72" s="62" t="s">
        <v>128</v>
      </c>
      <c r="B72" s="64">
        <f>($B$66*1)/$B$1</f>
        <v>0.4090909091</v>
      </c>
      <c r="C72" s="64">
        <f t="shared" si="90"/>
        <v>2</v>
      </c>
      <c r="D72" s="62">
        <f t="shared" si="91"/>
        <v>0.0148137</v>
      </c>
      <c r="E72" s="62">
        <f t="shared" si="92"/>
        <v>0.0001378</v>
      </c>
      <c r="F72" s="62">
        <f>QDL!K$22</f>
        <v>0.98</v>
      </c>
      <c r="G72" s="64">
        <f t="shared" si="93"/>
        <v>0.02380066012</v>
      </c>
      <c r="H72" s="74">
        <f t="shared" si="94"/>
        <v>0.0001081848187</v>
      </c>
      <c r="I72" s="74">
        <f t="shared" si="97"/>
        <v>0.006792924769</v>
      </c>
      <c r="J72" s="4"/>
      <c r="K72" s="110">
        <v>2.0</v>
      </c>
      <c r="L72" s="17">
        <v>0.0</v>
      </c>
      <c r="M72" s="17">
        <v>0.0</v>
      </c>
      <c r="N72" s="4"/>
      <c r="O72" s="86" t="str">
        <f t="shared" si="88"/>
        <v>Lu2-Lu3*</v>
      </c>
      <c r="P72" s="88">
        <f t="shared" ref="P72:Q72" si="98">B72</f>
        <v>0.4090909091</v>
      </c>
      <c r="Q72" s="88">
        <f t="shared" si="98"/>
        <v>2</v>
      </c>
      <c r="R72" s="86">
        <v>29.4</v>
      </c>
      <c r="S72" s="89">
        <f t="shared" si="96"/>
        <v>0.000109338843</v>
      </c>
      <c r="T72" s="91">
        <f t="shared" si="99"/>
        <v>0.006413228926</v>
      </c>
      <c r="U72" s="4"/>
      <c r="V72" s="4"/>
      <c r="W72" s="4"/>
    </row>
    <row r="73">
      <c r="A73" s="62" t="s">
        <v>129</v>
      </c>
      <c r="B73" s="64">
        <f>($B$66*3)/$B$1</f>
        <v>1.227272727</v>
      </c>
      <c r="C73" s="64">
        <f t="shared" si="90"/>
        <v>3.5</v>
      </c>
      <c r="D73" s="62">
        <f t="shared" si="91"/>
        <v>0.0148137</v>
      </c>
      <c r="E73" s="62">
        <f t="shared" si="92"/>
        <v>0.0001378</v>
      </c>
      <c r="F73" s="62">
        <f>QDL!K$22</f>
        <v>0.98</v>
      </c>
      <c r="G73" s="64">
        <f t="shared" si="93"/>
        <v>0.1249534657</v>
      </c>
      <c r="H73" s="74">
        <f t="shared" si="94"/>
        <v>0.0005679702984</v>
      </c>
      <c r="I73" s="74">
        <f>I70+H73</f>
        <v>0.007036340611</v>
      </c>
      <c r="J73" s="4"/>
      <c r="K73" s="110">
        <v>2.0</v>
      </c>
      <c r="L73" s="17">
        <v>1.0</v>
      </c>
      <c r="M73" s="17">
        <v>0.0</v>
      </c>
      <c r="N73" s="4"/>
      <c r="O73" s="86" t="str">
        <f t="shared" si="88"/>
        <v>Lu1-Lu4</v>
      </c>
      <c r="P73" s="88">
        <f t="shared" ref="P73:Q73" si="100">B73</f>
        <v>1.227272727</v>
      </c>
      <c r="Q73" s="88">
        <f t="shared" si="100"/>
        <v>3.5</v>
      </c>
      <c r="R73" s="86">
        <v>30.4</v>
      </c>
      <c r="S73" s="89">
        <f t="shared" si="96"/>
        <v>0.000593553719</v>
      </c>
      <c r="T73" s="91">
        <f>T70+S73</f>
        <v>0.006686204132</v>
      </c>
      <c r="U73" s="4"/>
      <c r="V73" s="4"/>
      <c r="W73" s="4"/>
    </row>
    <row r="74">
      <c r="A74" s="62" t="s">
        <v>105</v>
      </c>
      <c r="B74" s="64">
        <f>($B$66*2)/$B$1</f>
        <v>0.8181818182</v>
      </c>
      <c r="C74" s="64">
        <f t="shared" si="90"/>
        <v>2</v>
      </c>
      <c r="D74" s="62">
        <f t="shared" si="91"/>
        <v>0.0148137</v>
      </c>
      <c r="E74" s="62">
        <f t="shared" si="92"/>
        <v>0.0001378</v>
      </c>
      <c r="F74" s="62">
        <f>QDL!K$22</f>
        <v>0.98</v>
      </c>
      <c r="G74" s="64">
        <f t="shared" si="93"/>
        <v>0.04760132025</v>
      </c>
      <c r="H74" s="74">
        <f t="shared" si="94"/>
        <v>0.0002163696375</v>
      </c>
      <c r="I74" s="74">
        <f t="shared" ref="I74:I75" si="102">I73+H74</f>
        <v>0.007252710249</v>
      </c>
      <c r="J74" s="4"/>
      <c r="K74" s="110">
        <v>2.0</v>
      </c>
      <c r="L74" s="17">
        <v>0.0</v>
      </c>
      <c r="M74" s="17">
        <v>0.0</v>
      </c>
      <c r="N74" s="4"/>
      <c r="O74" s="86" t="str">
        <f t="shared" si="88"/>
        <v>Lu4-Lu5</v>
      </c>
      <c r="P74" s="88">
        <f t="shared" ref="P74:Q74" si="101">B74</f>
        <v>0.8181818182</v>
      </c>
      <c r="Q74" s="88">
        <f t="shared" si="101"/>
        <v>2</v>
      </c>
      <c r="R74" s="86">
        <v>31.4</v>
      </c>
      <c r="S74" s="89">
        <f t="shared" si="96"/>
        <v>0.000233553719</v>
      </c>
      <c r="T74" s="91">
        <f t="shared" ref="T74:T75" si="104">T73+S74</f>
        <v>0.006919757851</v>
      </c>
      <c r="U74" s="4"/>
      <c r="V74" s="4"/>
      <c r="W74" s="4"/>
    </row>
    <row r="75" ht="15.75" customHeight="1">
      <c r="A75" s="116" t="s">
        <v>130</v>
      </c>
      <c r="B75" s="117">
        <f>($B$66*1)/$B$1</f>
        <v>0.4090909091</v>
      </c>
      <c r="C75" s="117">
        <f t="shared" si="90"/>
        <v>2</v>
      </c>
      <c r="D75" s="116">
        <f t="shared" si="91"/>
        <v>0.0148137</v>
      </c>
      <c r="E75" s="116">
        <f t="shared" si="92"/>
        <v>0.0001378</v>
      </c>
      <c r="F75" s="116">
        <f>QDL!K$22</f>
        <v>0.98</v>
      </c>
      <c r="G75" s="117">
        <f t="shared" si="93"/>
        <v>0.02380066012</v>
      </c>
      <c r="H75" s="118">
        <f t="shared" si="94"/>
        <v>0.0001081848187</v>
      </c>
      <c r="I75" s="118">
        <f t="shared" si="102"/>
        <v>0.007360895068</v>
      </c>
      <c r="J75" s="4"/>
      <c r="K75" s="110">
        <v>2.0</v>
      </c>
      <c r="L75" s="17">
        <v>0.0</v>
      </c>
      <c r="M75" s="17">
        <v>0.0</v>
      </c>
      <c r="N75" s="4"/>
      <c r="O75" s="86" t="str">
        <f t="shared" si="88"/>
        <v>Lu5-Lu6*</v>
      </c>
      <c r="P75" s="88">
        <f t="shared" ref="P75:Q75" si="103">B75</f>
        <v>0.4090909091</v>
      </c>
      <c r="Q75" s="88">
        <f t="shared" si="103"/>
        <v>2</v>
      </c>
      <c r="R75" s="86">
        <v>32.4</v>
      </c>
      <c r="S75" s="89">
        <f t="shared" si="96"/>
        <v>0.0001204958678</v>
      </c>
      <c r="T75" s="91">
        <f t="shared" si="104"/>
        <v>0.007040253719</v>
      </c>
      <c r="U75" s="4"/>
      <c r="V75" s="4"/>
      <c r="W75" s="4"/>
    </row>
    <row r="76" ht="15.75" customHeight="1">
      <c r="A76" s="70"/>
      <c r="B76" s="84"/>
      <c r="C76" s="84"/>
      <c r="D76" s="70"/>
      <c r="E76" s="70"/>
      <c r="F76" s="70"/>
      <c r="G76" s="84"/>
      <c r="H76" s="85"/>
      <c r="I76" s="85"/>
      <c r="J76" s="4"/>
      <c r="K76" s="78"/>
      <c r="L76" s="70"/>
      <c r="M76" s="70"/>
      <c r="N76" s="4"/>
      <c r="O76" s="70"/>
      <c r="P76" s="84"/>
      <c r="Q76" s="84"/>
      <c r="R76" s="70"/>
      <c r="S76" s="99"/>
      <c r="T76" s="85"/>
      <c r="U76" s="4"/>
      <c r="V76" s="4"/>
      <c r="W76" s="4"/>
    </row>
    <row r="77">
      <c r="A77" s="30" t="s">
        <v>115</v>
      </c>
      <c r="B77" s="33">
        <f>QDL!$H$23</f>
        <v>90</v>
      </c>
      <c r="C77" s="84"/>
      <c r="D77" s="70"/>
      <c r="E77" s="70"/>
      <c r="F77" s="70"/>
      <c r="G77" s="84"/>
      <c r="H77" s="85"/>
      <c r="I77" s="85"/>
      <c r="J77" s="4"/>
      <c r="K77" s="78"/>
      <c r="L77" s="70"/>
      <c r="M77" s="70"/>
      <c r="N77" s="4"/>
      <c r="O77" s="70"/>
      <c r="P77" s="84"/>
      <c r="Q77" s="84"/>
      <c r="R77" s="70"/>
      <c r="S77" s="99"/>
      <c r="T77" s="85"/>
      <c r="U77" s="4"/>
      <c r="V77" s="4"/>
      <c r="W77" s="4"/>
    </row>
    <row r="78">
      <c r="A78" s="30" t="s">
        <v>37</v>
      </c>
      <c r="B78" s="38">
        <f>QDL!$G$23</f>
        <v>16</v>
      </c>
      <c r="C78" s="139"/>
      <c r="D78" s="139"/>
      <c r="E78" s="139"/>
      <c r="F78" s="139"/>
      <c r="G78" s="139"/>
      <c r="H78" s="139"/>
      <c r="I78" s="139"/>
      <c r="J78" s="4"/>
      <c r="K78" s="4"/>
      <c r="L78" s="4"/>
      <c r="M78" s="4"/>
      <c r="N78" s="4"/>
      <c r="O78" s="70"/>
      <c r="P78" s="84"/>
      <c r="Q78" s="84"/>
      <c r="R78" s="70"/>
      <c r="S78" s="99"/>
      <c r="T78" s="85"/>
      <c r="U78" s="4"/>
      <c r="V78" s="4"/>
      <c r="W78" s="4"/>
    </row>
    <row r="79" ht="15.75" customHeight="1">
      <c r="A79" s="103" t="s">
        <v>239</v>
      </c>
      <c r="B79" s="23"/>
      <c r="C79" s="23"/>
      <c r="D79" s="23"/>
      <c r="E79" s="23"/>
      <c r="F79" s="23"/>
      <c r="G79" s="23"/>
      <c r="H79" s="23"/>
      <c r="I79" s="23"/>
      <c r="J79" s="4"/>
      <c r="K79" s="4"/>
      <c r="L79" s="4"/>
      <c r="M79" s="4"/>
      <c r="N79" s="4"/>
      <c r="O79" s="48" t="s">
        <v>240</v>
      </c>
      <c r="P79" s="2"/>
      <c r="Q79" s="2"/>
      <c r="R79" s="2"/>
      <c r="S79" s="2"/>
      <c r="T79" s="3"/>
      <c r="U79" s="4"/>
      <c r="V79" s="4"/>
      <c r="W79" s="4"/>
    </row>
    <row r="80" ht="15.75" customHeight="1">
      <c r="A80" s="204" t="s">
        <v>242</v>
      </c>
      <c r="B80" s="52" t="s">
        <v>44</v>
      </c>
      <c r="C80" s="52" t="s">
        <v>45</v>
      </c>
      <c r="D80" s="52" t="s">
        <v>46</v>
      </c>
      <c r="E80" s="52" t="s">
        <v>49</v>
      </c>
      <c r="F80" s="52" t="s">
        <v>51</v>
      </c>
      <c r="G80" s="52" t="s">
        <v>52</v>
      </c>
      <c r="H80" s="52" t="s">
        <v>53</v>
      </c>
      <c r="I80" s="52" t="s">
        <v>54</v>
      </c>
      <c r="J80" s="4"/>
      <c r="K80" s="57" t="s">
        <v>55</v>
      </c>
      <c r="L80" s="57" t="s">
        <v>56</v>
      </c>
      <c r="M80" s="57" t="s">
        <v>57</v>
      </c>
      <c r="N80" s="4"/>
      <c r="O80" s="206" t="str">
        <f t="shared" ref="O80:O96" si="105">A80</f>
        <v>Circuito L20</v>
      </c>
      <c r="P80" s="206" t="s">
        <v>32</v>
      </c>
      <c r="Q80" s="206" t="s">
        <v>45</v>
      </c>
      <c r="R80" s="206" t="s">
        <v>58</v>
      </c>
      <c r="S80" s="206" t="s">
        <v>53</v>
      </c>
      <c r="T80" s="206" t="s">
        <v>54</v>
      </c>
      <c r="U80" s="4"/>
      <c r="V80" s="4"/>
      <c r="W80" s="4"/>
    </row>
    <row r="81" ht="15.75" customHeight="1">
      <c r="A81" s="62" t="s">
        <v>234</v>
      </c>
      <c r="B81" s="64">
        <f>($B$77*16)/$B$1</f>
        <v>6.545454545</v>
      </c>
      <c r="C81" s="64">
        <f t="shared" ref="C81:C96" si="107">K81+(L81*1.5)+M81</f>
        <v>7.77</v>
      </c>
      <c r="D81" s="62">
        <f t="shared" ref="D81:D96" si="108">14.8137*10^-3</f>
        <v>0.0148137</v>
      </c>
      <c r="E81" s="62">
        <f t="shared" ref="E81:E96" si="109">0.1378*10^-3</f>
        <v>0.0001378</v>
      </c>
      <c r="F81" s="62">
        <f>QDL!K$23</f>
        <v>0.98</v>
      </c>
      <c r="G81" s="64">
        <f t="shared" ref="G81:G96" si="110">2*B81*C81*(D81*F81+E81*SIN(ACOS(F81)))</f>
        <v>1.479449033</v>
      </c>
      <c r="H81" s="74">
        <f t="shared" ref="H81:H96" si="111">G81/220</f>
        <v>0.006724768333</v>
      </c>
      <c r="I81" s="74">
        <f>H81</f>
        <v>0.006724768333</v>
      </c>
      <c r="J81" s="4"/>
      <c r="K81" s="4">
        <f>1.44+1.83</f>
        <v>3.27</v>
      </c>
      <c r="L81" s="4">
        <v>2.0</v>
      </c>
      <c r="M81" s="4">
        <v>1.5</v>
      </c>
      <c r="N81" s="4"/>
      <c r="O81" s="86" t="str">
        <f t="shared" si="105"/>
        <v>QDL6-Lu1</v>
      </c>
      <c r="P81" s="88">
        <f t="shared" ref="P81:Q81" si="106">B81</f>
        <v>6.545454545</v>
      </c>
      <c r="Q81" s="88">
        <f t="shared" si="106"/>
        <v>7.77</v>
      </c>
      <c r="R81" s="86">
        <v>34.4</v>
      </c>
      <c r="S81" s="89">
        <f t="shared" ref="S81:S96" si="113">(Q81/1000)*P81*R81*(100/220)/100</f>
        <v>0.007952370248</v>
      </c>
      <c r="T81" s="91">
        <f>S81</f>
        <v>0.007952370248</v>
      </c>
      <c r="U81" s="4"/>
      <c r="V81" s="4"/>
      <c r="W81" s="4"/>
    </row>
    <row r="82" ht="15.75" customHeight="1">
      <c r="A82" s="62" t="s">
        <v>81</v>
      </c>
      <c r="B82" s="64">
        <f>($B$77*3)/$B$1</f>
        <v>1.227272727</v>
      </c>
      <c r="C82" s="64">
        <f t="shared" si="107"/>
        <v>1.5</v>
      </c>
      <c r="D82" s="62">
        <f t="shared" si="108"/>
        <v>0.0148137</v>
      </c>
      <c r="E82" s="62">
        <f t="shared" si="109"/>
        <v>0.0001378</v>
      </c>
      <c r="F82" s="62">
        <f>QDL!K$23</f>
        <v>0.98</v>
      </c>
      <c r="G82" s="64">
        <f t="shared" si="110"/>
        <v>0.05355148528</v>
      </c>
      <c r="H82" s="74">
        <f t="shared" si="111"/>
        <v>0.0002434158422</v>
      </c>
      <c r="I82" s="74">
        <f t="shared" ref="I82:I84" si="114">I81+H82</f>
        <v>0.006968184175</v>
      </c>
      <c r="J82" s="4"/>
      <c r="K82" s="4">
        <v>1.5</v>
      </c>
      <c r="L82" s="4">
        <v>0.0</v>
      </c>
      <c r="M82" s="4">
        <v>0.0</v>
      </c>
      <c r="N82" s="4"/>
      <c r="O82" s="86" t="str">
        <f t="shared" si="105"/>
        <v>Lu1-Lu2</v>
      </c>
      <c r="P82" s="88">
        <f t="shared" ref="P82:Q82" si="112">B82</f>
        <v>1.227272727</v>
      </c>
      <c r="Q82" s="88">
        <f t="shared" si="112"/>
        <v>1.5</v>
      </c>
      <c r="R82" s="86">
        <v>35.4</v>
      </c>
      <c r="S82" s="89">
        <f t="shared" si="113"/>
        <v>0.0002962190083</v>
      </c>
      <c r="T82" s="91">
        <f t="shared" ref="T82:T84" si="116">T81+S82</f>
        <v>0.008248589256</v>
      </c>
      <c r="U82" s="4"/>
      <c r="V82" s="4"/>
      <c r="W82" s="4"/>
    </row>
    <row r="83" ht="15.75" customHeight="1">
      <c r="A83" s="62" t="s">
        <v>88</v>
      </c>
      <c r="B83" s="64">
        <f>($B$77*2)/$B$1</f>
        <v>0.8181818182</v>
      </c>
      <c r="C83" s="64">
        <f t="shared" si="107"/>
        <v>1.5</v>
      </c>
      <c r="D83" s="62">
        <f t="shared" si="108"/>
        <v>0.0148137</v>
      </c>
      <c r="E83" s="62">
        <f t="shared" si="109"/>
        <v>0.0001378</v>
      </c>
      <c r="F83" s="62">
        <f>QDL!K$23</f>
        <v>0.98</v>
      </c>
      <c r="G83" s="64">
        <f t="shared" si="110"/>
        <v>0.03570099019</v>
      </c>
      <c r="H83" s="74">
        <f t="shared" si="111"/>
        <v>0.0001622772281</v>
      </c>
      <c r="I83" s="74">
        <f t="shared" si="114"/>
        <v>0.007130461404</v>
      </c>
      <c r="J83" s="4"/>
      <c r="K83" s="4">
        <v>1.5</v>
      </c>
      <c r="L83" s="4">
        <v>0.0</v>
      </c>
      <c r="M83" s="4">
        <v>0.0</v>
      </c>
      <c r="N83" s="4"/>
      <c r="O83" s="86" t="str">
        <f t="shared" si="105"/>
        <v>Lu2-Lu3</v>
      </c>
      <c r="P83" s="88">
        <f t="shared" ref="P83:Q83" si="115">B83</f>
        <v>0.8181818182</v>
      </c>
      <c r="Q83" s="88">
        <f t="shared" si="115"/>
        <v>1.5</v>
      </c>
      <c r="R83" s="86">
        <v>36.4</v>
      </c>
      <c r="S83" s="89">
        <f t="shared" si="113"/>
        <v>0.0002030578512</v>
      </c>
      <c r="T83" s="91">
        <f t="shared" si="116"/>
        <v>0.008451647107</v>
      </c>
      <c r="U83" s="4"/>
      <c r="V83" s="4"/>
      <c r="W83" s="4"/>
    </row>
    <row r="84">
      <c r="A84" s="62" t="s">
        <v>121</v>
      </c>
      <c r="B84" s="64">
        <f>($B$77*1)/$B$1</f>
        <v>0.4090909091</v>
      </c>
      <c r="C84" s="64">
        <f t="shared" si="107"/>
        <v>1.5</v>
      </c>
      <c r="D84" s="62">
        <f t="shared" si="108"/>
        <v>0.0148137</v>
      </c>
      <c r="E84" s="62">
        <f t="shared" si="109"/>
        <v>0.0001378</v>
      </c>
      <c r="F84" s="62">
        <f>QDL!K$23</f>
        <v>0.98</v>
      </c>
      <c r="G84" s="64">
        <f t="shared" si="110"/>
        <v>0.01785049509</v>
      </c>
      <c r="H84" s="74">
        <f t="shared" si="111"/>
        <v>0.00008113861406</v>
      </c>
      <c r="I84" s="74">
        <f t="shared" si="114"/>
        <v>0.007211600018</v>
      </c>
      <c r="J84" s="4"/>
      <c r="K84" s="4">
        <v>1.5</v>
      </c>
      <c r="L84" s="4">
        <v>0.0</v>
      </c>
      <c r="M84" s="4">
        <v>0.0</v>
      </c>
      <c r="N84" s="4"/>
      <c r="O84" s="86" t="str">
        <f t="shared" si="105"/>
        <v>Lu3-Lu4*</v>
      </c>
      <c r="P84" s="88">
        <f t="shared" ref="P84:Q84" si="117">B84</f>
        <v>0.4090909091</v>
      </c>
      <c r="Q84" s="88">
        <f t="shared" si="117"/>
        <v>1.5</v>
      </c>
      <c r="R84" s="86">
        <v>37.4</v>
      </c>
      <c r="S84" s="89">
        <f t="shared" si="113"/>
        <v>0.0001043181818</v>
      </c>
      <c r="T84" s="91">
        <f t="shared" si="116"/>
        <v>0.008555965289</v>
      </c>
      <c r="U84" s="4"/>
      <c r="V84" s="4"/>
      <c r="W84" s="4"/>
    </row>
    <row r="85">
      <c r="A85" s="62" t="s">
        <v>243</v>
      </c>
      <c r="B85" s="64">
        <f>($B$77*4)/$B$1</f>
        <v>1.636363636</v>
      </c>
      <c r="C85" s="64">
        <f t="shared" si="107"/>
        <v>1.25</v>
      </c>
      <c r="D85" s="62">
        <f t="shared" si="108"/>
        <v>0.0148137</v>
      </c>
      <c r="E85" s="62">
        <f t="shared" si="109"/>
        <v>0.0001378</v>
      </c>
      <c r="F85" s="62">
        <f>QDL!K$23</f>
        <v>0.98</v>
      </c>
      <c r="G85" s="64">
        <f t="shared" si="110"/>
        <v>0.05950165031</v>
      </c>
      <c r="H85" s="74">
        <f t="shared" si="111"/>
        <v>0.0002704620469</v>
      </c>
      <c r="I85" s="74">
        <f>I81+H85</f>
        <v>0.00699523038</v>
      </c>
      <c r="J85" s="4"/>
      <c r="K85" s="4">
        <v>1.25</v>
      </c>
      <c r="L85" s="4">
        <v>0.0</v>
      </c>
      <c r="M85" s="4">
        <v>0.0</v>
      </c>
      <c r="N85" s="4"/>
      <c r="O85" s="86" t="str">
        <f t="shared" si="105"/>
        <v>Lu1-Lu5</v>
      </c>
      <c r="P85" s="88">
        <f t="shared" ref="P85:Q85" si="118">B85</f>
        <v>1.636363636</v>
      </c>
      <c r="Q85" s="88">
        <f t="shared" si="118"/>
        <v>1.25</v>
      </c>
      <c r="R85" s="86">
        <v>38.4</v>
      </c>
      <c r="S85" s="89">
        <f t="shared" si="113"/>
        <v>0.0003570247934</v>
      </c>
      <c r="T85" s="91">
        <f>T81+S85</f>
        <v>0.008309395041</v>
      </c>
      <c r="U85" s="4"/>
      <c r="V85" s="4"/>
      <c r="W85" s="4"/>
    </row>
    <row r="86" ht="15.75" customHeight="1">
      <c r="A86" s="62" t="s">
        <v>185</v>
      </c>
      <c r="B86" s="64">
        <f>($B$77*3)/$B$1</f>
        <v>1.227272727</v>
      </c>
      <c r="C86" s="64">
        <f t="shared" si="107"/>
        <v>3</v>
      </c>
      <c r="D86" s="62">
        <f t="shared" si="108"/>
        <v>0.0148137</v>
      </c>
      <c r="E86" s="62">
        <f t="shared" si="109"/>
        <v>0.0001378</v>
      </c>
      <c r="F86" s="62">
        <f>QDL!K$23</f>
        <v>0.98</v>
      </c>
      <c r="G86" s="64">
        <f t="shared" si="110"/>
        <v>0.1071029706</v>
      </c>
      <c r="H86" s="74">
        <f t="shared" si="111"/>
        <v>0.0004868316844</v>
      </c>
      <c r="I86" s="74">
        <f t="shared" ref="I86:I88" si="120">I85+H86</f>
        <v>0.007482062065</v>
      </c>
      <c r="J86" s="4"/>
      <c r="K86" s="4">
        <v>1.5</v>
      </c>
      <c r="L86" s="4">
        <v>1.0</v>
      </c>
      <c r="M86" s="4">
        <v>0.0</v>
      </c>
      <c r="N86" s="4"/>
      <c r="O86" s="86" t="str">
        <f t="shared" si="105"/>
        <v>Lu5-Lu6</v>
      </c>
      <c r="P86" s="88">
        <f t="shared" ref="P86:Q86" si="119">B86</f>
        <v>1.227272727</v>
      </c>
      <c r="Q86" s="88">
        <f t="shared" si="119"/>
        <v>3</v>
      </c>
      <c r="R86" s="86">
        <v>39.4</v>
      </c>
      <c r="S86" s="89">
        <f t="shared" si="113"/>
        <v>0.0006593801653</v>
      </c>
      <c r="T86" s="91">
        <f t="shared" ref="T86:T88" si="122">T85+S86</f>
        <v>0.008968775207</v>
      </c>
      <c r="U86" s="4"/>
      <c r="V86" s="4"/>
      <c r="W86" s="4"/>
    </row>
    <row r="87" ht="15.75" customHeight="1">
      <c r="A87" s="62" t="s">
        <v>231</v>
      </c>
      <c r="B87" s="64">
        <f>($B$77*2)/$B$1</f>
        <v>0.8181818182</v>
      </c>
      <c r="C87" s="64">
        <f t="shared" si="107"/>
        <v>1.5</v>
      </c>
      <c r="D87" s="62">
        <f t="shared" si="108"/>
        <v>0.0148137</v>
      </c>
      <c r="E87" s="62">
        <f t="shared" si="109"/>
        <v>0.0001378</v>
      </c>
      <c r="F87" s="62">
        <f>QDL!K$23</f>
        <v>0.98</v>
      </c>
      <c r="G87" s="64">
        <f t="shared" si="110"/>
        <v>0.03570099019</v>
      </c>
      <c r="H87" s="74">
        <f t="shared" si="111"/>
        <v>0.0001622772281</v>
      </c>
      <c r="I87" s="74">
        <f t="shared" si="120"/>
        <v>0.007644339293</v>
      </c>
      <c r="J87" s="4"/>
      <c r="K87" s="4">
        <v>1.5</v>
      </c>
      <c r="L87" s="4">
        <v>0.0</v>
      </c>
      <c r="M87" s="4">
        <v>0.0</v>
      </c>
      <c r="N87" s="4"/>
      <c r="O87" s="86" t="str">
        <f t="shared" si="105"/>
        <v>Lu6-Lu7</v>
      </c>
      <c r="P87" s="88">
        <f t="shared" ref="P87:Q87" si="121">B87</f>
        <v>0.8181818182</v>
      </c>
      <c r="Q87" s="88">
        <f t="shared" si="121"/>
        <v>1.5</v>
      </c>
      <c r="R87" s="86">
        <v>40.4</v>
      </c>
      <c r="S87" s="89">
        <f t="shared" si="113"/>
        <v>0.0002253719008</v>
      </c>
      <c r="T87" s="91">
        <f t="shared" si="122"/>
        <v>0.009194147107</v>
      </c>
      <c r="U87" s="4"/>
      <c r="V87" s="4"/>
      <c r="W87" s="4"/>
    </row>
    <row r="88" ht="15.75" customHeight="1">
      <c r="A88" s="62" t="s">
        <v>245</v>
      </c>
      <c r="B88" s="64">
        <f>($B$77*1)/$B$1</f>
        <v>0.4090909091</v>
      </c>
      <c r="C88" s="64">
        <f t="shared" si="107"/>
        <v>1.5</v>
      </c>
      <c r="D88" s="62">
        <f t="shared" si="108"/>
        <v>0.0148137</v>
      </c>
      <c r="E88" s="62">
        <f t="shared" si="109"/>
        <v>0.0001378</v>
      </c>
      <c r="F88" s="62">
        <f>QDL!K$23</f>
        <v>0.98</v>
      </c>
      <c r="G88" s="64">
        <f t="shared" si="110"/>
        <v>0.01785049509</v>
      </c>
      <c r="H88" s="74">
        <f t="shared" si="111"/>
        <v>0.00008113861406</v>
      </c>
      <c r="I88" s="74">
        <f t="shared" si="120"/>
        <v>0.007725477907</v>
      </c>
      <c r="J88" s="4"/>
      <c r="K88" s="4">
        <v>1.5</v>
      </c>
      <c r="L88" s="4">
        <v>0.0</v>
      </c>
      <c r="M88" s="4">
        <v>0.0</v>
      </c>
      <c r="N88" s="4"/>
      <c r="O88" s="86" t="str">
        <f t="shared" si="105"/>
        <v>Lu7-Lu8*</v>
      </c>
      <c r="P88" s="88">
        <f t="shared" ref="P88:Q88" si="123">B88</f>
        <v>0.4090909091</v>
      </c>
      <c r="Q88" s="88">
        <f t="shared" si="123"/>
        <v>1.5</v>
      </c>
      <c r="R88" s="86">
        <v>41.4</v>
      </c>
      <c r="S88" s="89">
        <f t="shared" si="113"/>
        <v>0.0001154752066</v>
      </c>
      <c r="T88" s="91">
        <f t="shared" si="122"/>
        <v>0.009309622314</v>
      </c>
      <c r="U88" s="4"/>
      <c r="V88" s="4"/>
      <c r="W88" s="4"/>
    </row>
    <row r="89" ht="15.75" customHeight="1">
      <c r="A89" s="62" t="s">
        <v>181</v>
      </c>
      <c r="B89" s="64">
        <f>($B$77*8)/$B$1</f>
        <v>3.272727273</v>
      </c>
      <c r="C89" s="64">
        <f t="shared" si="107"/>
        <v>1.25</v>
      </c>
      <c r="D89" s="62">
        <f t="shared" si="108"/>
        <v>0.0148137</v>
      </c>
      <c r="E89" s="62">
        <f t="shared" si="109"/>
        <v>0.0001378</v>
      </c>
      <c r="F89" s="62">
        <f>QDL!K$23</f>
        <v>0.98</v>
      </c>
      <c r="G89" s="64">
        <f t="shared" si="110"/>
        <v>0.1190033006</v>
      </c>
      <c r="H89" s="74">
        <f t="shared" si="111"/>
        <v>0.0005409240937</v>
      </c>
      <c r="I89" s="74">
        <f>I81+H89</f>
        <v>0.007265692427</v>
      </c>
      <c r="J89" s="4"/>
      <c r="K89" s="4">
        <v>1.25</v>
      </c>
      <c r="L89" s="4">
        <v>0.0</v>
      </c>
      <c r="M89" s="4">
        <v>0.0</v>
      </c>
      <c r="N89" s="4"/>
      <c r="O89" s="86" t="str">
        <f t="shared" si="105"/>
        <v>Lu1-Lu9</v>
      </c>
      <c r="P89" s="88">
        <f t="shared" ref="P89:Q89" si="124">B89</f>
        <v>3.272727273</v>
      </c>
      <c r="Q89" s="88">
        <f t="shared" si="124"/>
        <v>1.25</v>
      </c>
      <c r="R89" s="86">
        <v>42.4</v>
      </c>
      <c r="S89" s="89">
        <f t="shared" si="113"/>
        <v>0.0007884297521</v>
      </c>
      <c r="T89" s="91">
        <f>T81+S89</f>
        <v>0.0087408</v>
      </c>
      <c r="U89" s="4"/>
      <c r="V89" s="4"/>
      <c r="W89" s="4"/>
    </row>
    <row r="90" ht="15.75" customHeight="1">
      <c r="A90" s="62" t="s">
        <v>182</v>
      </c>
      <c r="B90" s="64">
        <f>($B$77*3)/$B$1</f>
        <v>1.227272727</v>
      </c>
      <c r="C90" s="64">
        <f t="shared" si="107"/>
        <v>3</v>
      </c>
      <c r="D90" s="62">
        <f t="shared" si="108"/>
        <v>0.0148137</v>
      </c>
      <c r="E90" s="62">
        <f t="shared" si="109"/>
        <v>0.0001378</v>
      </c>
      <c r="F90" s="62">
        <f>QDL!K$23</f>
        <v>0.98</v>
      </c>
      <c r="G90" s="64">
        <f t="shared" si="110"/>
        <v>0.1071029706</v>
      </c>
      <c r="H90" s="74">
        <f t="shared" si="111"/>
        <v>0.0004868316844</v>
      </c>
      <c r="I90" s="74">
        <f t="shared" ref="I90:I92" si="126">I89+H90</f>
        <v>0.007752524111</v>
      </c>
      <c r="J90" s="4"/>
      <c r="K90" s="4">
        <v>1.5</v>
      </c>
      <c r="L90" s="4">
        <v>1.0</v>
      </c>
      <c r="M90" s="4">
        <v>0.0</v>
      </c>
      <c r="N90" s="4"/>
      <c r="O90" s="86" t="str">
        <f t="shared" si="105"/>
        <v>Lu9-Lu10</v>
      </c>
      <c r="P90" s="88">
        <f t="shared" ref="P90:Q90" si="125">B90</f>
        <v>1.227272727</v>
      </c>
      <c r="Q90" s="88">
        <f t="shared" si="125"/>
        <v>3</v>
      </c>
      <c r="R90" s="86">
        <v>43.4</v>
      </c>
      <c r="S90" s="89">
        <f t="shared" si="113"/>
        <v>0.000726322314</v>
      </c>
      <c r="T90" s="91">
        <f t="shared" ref="T90:T92" si="128">T89+S90</f>
        <v>0.009467122314</v>
      </c>
      <c r="U90" s="4"/>
      <c r="V90" s="4"/>
      <c r="W90" s="4"/>
    </row>
    <row r="91" ht="15.75" customHeight="1">
      <c r="A91" s="62" t="s">
        <v>183</v>
      </c>
      <c r="B91" s="64">
        <f>($B$77*2)/$B$1</f>
        <v>0.8181818182</v>
      </c>
      <c r="C91" s="64">
        <f t="shared" si="107"/>
        <v>1.5</v>
      </c>
      <c r="D91" s="62">
        <f t="shared" si="108"/>
        <v>0.0148137</v>
      </c>
      <c r="E91" s="62">
        <f t="shared" si="109"/>
        <v>0.0001378</v>
      </c>
      <c r="F91" s="62">
        <f>QDL!K$23</f>
        <v>0.98</v>
      </c>
      <c r="G91" s="64">
        <f t="shared" si="110"/>
        <v>0.03570099019</v>
      </c>
      <c r="H91" s="74">
        <f t="shared" si="111"/>
        <v>0.0001622772281</v>
      </c>
      <c r="I91" s="74">
        <f t="shared" si="126"/>
        <v>0.00791480134</v>
      </c>
      <c r="J91" s="4"/>
      <c r="K91" s="4">
        <v>1.5</v>
      </c>
      <c r="L91" s="4">
        <v>0.0</v>
      </c>
      <c r="M91" s="4">
        <v>0.0</v>
      </c>
      <c r="N91" s="4"/>
      <c r="O91" s="86" t="str">
        <f t="shared" si="105"/>
        <v>Lu10-Lu11</v>
      </c>
      <c r="P91" s="88">
        <f t="shared" ref="P91:Q91" si="127">B91</f>
        <v>0.8181818182</v>
      </c>
      <c r="Q91" s="88">
        <f t="shared" si="127"/>
        <v>1.5</v>
      </c>
      <c r="R91" s="86">
        <v>44.4</v>
      </c>
      <c r="S91" s="89">
        <f t="shared" si="113"/>
        <v>0.0002476859504</v>
      </c>
      <c r="T91" s="91">
        <f t="shared" si="128"/>
        <v>0.009714808264</v>
      </c>
      <c r="U91" s="4"/>
      <c r="V91" s="4"/>
      <c r="W91" s="4"/>
    </row>
    <row r="92" ht="15.75" customHeight="1">
      <c r="A92" s="62" t="s">
        <v>184</v>
      </c>
      <c r="B92" s="64">
        <f>($B$77*1)/$B$1</f>
        <v>0.4090909091</v>
      </c>
      <c r="C92" s="64">
        <f t="shared" si="107"/>
        <v>1.5</v>
      </c>
      <c r="D92" s="62">
        <f t="shared" si="108"/>
        <v>0.0148137</v>
      </c>
      <c r="E92" s="62">
        <f t="shared" si="109"/>
        <v>0.0001378</v>
      </c>
      <c r="F92" s="62">
        <f>QDL!K$23</f>
        <v>0.98</v>
      </c>
      <c r="G92" s="64">
        <f t="shared" si="110"/>
        <v>0.01785049509</v>
      </c>
      <c r="H92" s="74">
        <f t="shared" si="111"/>
        <v>0.00008113861406</v>
      </c>
      <c r="I92" s="74">
        <f t="shared" si="126"/>
        <v>0.007995939954</v>
      </c>
      <c r="J92" s="4"/>
      <c r="K92" s="4">
        <v>1.5</v>
      </c>
      <c r="L92" s="4">
        <v>0.0</v>
      </c>
      <c r="M92" s="4">
        <v>0.0</v>
      </c>
      <c r="N92" s="4"/>
      <c r="O92" s="86" t="str">
        <f t="shared" si="105"/>
        <v>Lu11-Lu12*</v>
      </c>
      <c r="P92" s="88">
        <f t="shared" ref="P92:Q92" si="129">B92</f>
        <v>0.4090909091</v>
      </c>
      <c r="Q92" s="88">
        <f t="shared" si="129"/>
        <v>1.5</v>
      </c>
      <c r="R92" s="86">
        <v>45.4</v>
      </c>
      <c r="S92" s="89">
        <f t="shared" si="113"/>
        <v>0.0001266322314</v>
      </c>
      <c r="T92" s="91">
        <f t="shared" si="128"/>
        <v>0.009841440496</v>
      </c>
      <c r="U92" s="4"/>
      <c r="V92" s="4"/>
      <c r="W92" s="4"/>
    </row>
    <row r="93" ht="15.75" customHeight="1">
      <c r="A93" s="62" t="s">
        <v>187</v>
      </c>
      <c r="B93" s="64">
        <f>($B$77*4)/$B$1</f>
        <v>1.636363636</v>
      </c>
      <c r="C93" s="64">
        <f t="shared" si="107"/>
        <v>1.25</v>
      </c>
      <c r="D93" s="62">
        <f t="shared" si="108"/>
        <v>0.0148137</v>
      </c>
      <c r="E93" s="62">
        <f t="shared" si="109"/>
        <v>0.0001378</v>
      </c>
      <c r="F93" s="62">
        <f>QDL!K$23</f>
        <v>0.98</v>
      </c>
      <c r="G93" s="64">
        <f t="shared" si="110"/>
        <v>0.05950165031</v>
      </c>
      <c r="H93" s="74">
        <f t="shared" si="111"/>
        <v>0.0002704620469</v>
      </c>
      <c r="I93" s="74">
        <f>I89+H93</f>
        <v>0.007536154474</v>
      </c>
      <c r="J93" s="4"/>
      <c r="K93" s="4">
        <v>1.25</v>
      </c>
      <c r="L93" s="4">
        <v>0.0</v>
      </c>
      <c r="M93" s="4">
        <v>0.0</v>
      </c>
      <c r="N93" s="4"/>
      <c r="O93" s="86" t="str">
        <f t="shared" si="105"/>
        <v>Lu9-Lu13</v>
      </c>
      <c r="P93" s="88">
        <f t="shared" ref="P93:Q93" si="130">B93</f>
        <v>1.636363636</v>
      </c>
      <c r="Q93" s="88">
        <f t="shared" si="130"/>
        <v>1.25</v>
      </c>
      <c r="R93" s="86">
        <v>46.4</v>
      </c>
      <c r="S93" s="89">
        <f t="shared" si="113"/>
        <v>0.0004314049587</v>
      </c>
      <c r="T93" s="91">
        <f>T89+S93</f>
        <v>0.009172204959</v>
      </c>
      <c r="U93" s="4"/>
      <c r="V93" s="4"/>
      <c r="W93" s="4"/>
    </row>
    <row r="94" ht="15.75" customHeight="1">
      <c r="A94" s="62" t="s">
        <v>189</v>
      </c>
      <c r="B94" s="64">
        <f>($B$77*3)/$B$1</f>
        <v>1.227272727</v>
      </c>
      <c r="C94" s="64">
        <f t="shared" si="107"/>
        <v>3</v>
      </c>
      <c r="D94" s="62">
        <f t="shared" si="108"/>
        <v>0.0148137</v>
      </c>
      <c r="E94" s="62">
        <f t="shared" si="109"/>
        <v>0.0001378</v>
      </c>
      <c r="F94" s="62">
        <f>QDL!K$23</f>
        <v>0.98</v>
      </c>
      <c r="G94" s="64">
        <f t="shared" si="110"/>
        <v>0.1071029706</v>
      </c>
      <c r="H94" s="74">
        <f t="shared" si="111"/>
        <v>0.0004868316844</v>
      </c>
      <c r="I94" s="74">
        <f t="shared" ref="I94:I96" si="132">I93+H94</f>
        <v>0.008022986158</v>
      </c>
      <c r="J94" s="4"/>
      <c r="K94" s="4">
        <v>1.5</v>
      </c>
      <c r="L94" s="4">
        <v>1.0</v>
      </c>
      <c r="M94" s="4">
        <v>0.0</v>
      </c>
      <c r="N94" s="4"/>
      <c r="O94" s="86" t="str">
        <f t="shared" si="105"/>
        <v>Lu13-Lu14</v>
      </c>
      <c r="P94" s="88">
        <f t="shared" ref="P94:Q94" si="131">B94</f>
        <v>1.227272727</v>
      </c>
      <c r="Q94" s="88">
        <f t="shared" si="131"/>
        <v>3</v>
      </c>
      <c r="R94" s="86">
        <v>47.4</v>
      </c>
      <c r="S94" s="89">
        <f t="shared" si="113"/>
        <v>0.0007932644628</v>
      </c>
      <c r="T94" s="91">
        <f t="shared" ref="T94:T96" si="134">T93+S94</f>
        <v>0.009965469421</v>
      </c>
      <c r="U94" s="4"/>
      <c r="V94" s="4"/>
      <c r="W94" s="4"/>
    </row>
    <row r="95" ht="15.75" customHeight="1">
      <c r="A95" s="62" t="s">
        <v>190</v>
      </c>
      <c r="B95" s="64">
        <f>($B$77*2)/$B$1</f>
        <v>0.8181818182</v>
      </c>
      <c r="C95" s="64">
        <f t="shared" si="107"/>
        <v>1.5</v>
      </c>
      <c r="D95" s="62">
        <f t="shared" si="108"/>
        <v>0.0148137</v>
      </c>
      <c r="E95" s="62">
        <f t="shared" si="109"/>
        <v>0.0001378</v>
      </c>
      <c r="F95" s="62">
        <f>QDL!K$23</f>
        <v>0.98</v>
      </c>
      <c r="G95" s="64">
        <f t="shared" si="110"/>
        <v>0.03570099019</v>
      </c>
      <c r="H95" s="74">
        <f t="shared" si="111"/>
        <v>0.0001622772281</v>
      </c>
      <c r="I95" s="74">
        <f t="shared" si="132"/>
        <v>0.008185263386</v>
      </c>
      <c r="J95" s="4"/>
      <c r="K95" s="4">
        <v>1.5</v>
      </c>
      <c r="L95" s="4">
        <v>0.0</v>
      </c>
      <c r="M95" s="4">
        <v>0.0</v>
      </c>
      <c r="N95" s="4"/>
      <c r="O95" s="86" t="str">
        <f t="shared" si="105"/>
        <v>Lu14-Lu15</v>
      </c>
      <c r="P95" s="88">
        <f t="shared" ref="P95:Q95" si="133">B95</f>
        <v>0.8181818182</v>
      </c>
      <c r="Q95" s="88">
        <f t="shared" si="133"/>
        <v>1.5</v>
      </c>
      <c r="R95" s="86">
        <v>48.4</v>
      </c>
      <c r="S95" s="89">
        <f t="shared" si="113"/>
        <v>0.00027</v>
      </c>
      <c r="T95" s="91">
        <f t="shared" si="134"/>
        <v>0.01023546942</v>
      </c>
      <c r="U95" s="4"/>
      <c r="V95" s="4"/>
      <c r="W95" s="4"/>
    </row>
    <row r="96">
      <c r="A96" s="116" t="s">
        <v>191</v>
      </c>
      <c r="B96" s="117">
        <f>($B$77*1)/$B$1</f>
        <v>0.4090909091</v>
      </c>
      <c r="C96" s="117">
        <f t="shared" si="107"/>
        <v>1.5</v>
      </c>
      <c r="D96" s="116">
        <f t="shared" si="108"/>
        <v>0.0148137</v>
      </c>
      <c r="E96" s="116">
        <f t="shared" si="109"/>
        <v>0.0001378</v>
      </c>
      <c r="F96" s="116">
        <f>QDL!K$23</f>
        <v>0.98</v>
      </c>
      <c r="G96" s="117">
        <f t="shared" si="110"/>
        <v>0.01785049509</v>
      </c>
      <c r="H96" s="118">
        <f t="shared" si="111"/>
        <v>0.00008113861406</v>
      </c>
      <c r="I96" s="118">
        <f t="shared" si="132"/>
        <v>0.008266402</v>
      </c>
      <c r="J96" s="4"/>
      <c r="K96" s="4">
        <v>1.5</v>
      </c>
      <c r="L96" s="4">
        <v>0.0</v>
      </c>
      <c r="M96" s="4">
        <v>0.0</v>
      </c>
      <c r="N96" s="4"/>
      <c r="O96" s="86" t="str">
        <f t="shared" si="105"/>
        <v>Lu15-Lu16</v>
      </c>
      <c r="P96" s="88">
        <f t="shared" ref="P96:Q96" si="135">B96</f>
        <v>0.4090909091</v>
      </c>
      <c r="Q96" s="88">
        <f t="shared" si="135"/>
        <v>1.5</v>
      </c>
      <c r="R96" s="86">
        <v>49.4</v>
      </c>
      <c r="S96" s="89">
        <f t="shared" si="113"/>
        <v>0.0001377892562</v>
      </c>
      <c r="T96" s="91">
        <f t="shared" si="134"/>
        <v>0.01037325868</v>
      </c>
      <c r="U96" s="4"/>
      <c r="V96" s="4"/>
      <c r="W96" s="4"/>
    </row>
    <row r="97">
      <c r="A97" s="70"/>
      <c r="B97" s="84"/>
      <c r="C97" s="84"/>
      <c r="D97" s="70"/>
      <c r="E97" s="70"/>
      <c r="F97" s="70"/>
      <c r="G97" s="84"/>
      <c r="H97" s="85"/>
      <c r="I97" s="85"/>
      <c r="J97" s="4"/>
      <c r="K97" s="4"/>
      <c r="L97" s="4"/>
      <c r="M97" s="4"/>
      <c r="N97" s="4"/>
      <c r="O97" s="70"/>
      <c r="P97" s="84"/>
      <c r="Q97" s="84"/>
      <c r="R97" s="70"/>
      <c r="S97" s="99"/>
      <c r="T97" s="85"/>
      <c r="U97" s="4"/>
      <c r="V97" s="4"/>
      <c r="W97" s="4"/>
    </row>
    <row r="98">
      <c r="A98" s="30" t="s">
        <v>115</v>
      </c>
      <c r="B98" s="33">
        <f>QDL!$H$24</f>
        <v>90</v>
      </c>
      <c r="C98" s="84"/>
      <c r="D98" s="70"/>
      <c r="E98" s="70"/>
      <c r="F98" s="70"/>
      <c r="G98" s="84"/>
      <c r="H98" s="85"/>
      <c r="I98" s="85"/>
      <c r="J98" s="4"/>
      <c r="N98" s="4"/>
      <c r="O98" s="70"/>
      <c r="P98" s="84"/>
      <c r="Q98" s="84"/>
      <c r="R98" s="70"/>
      <c r="S98" s="99"/>
      <c r="T98" s="85"/>
      <c r="U98" s="4"/>
      <c r="V98" s="4"/>
      <c r="W98" s="4"/>
    </row>
    <row r="99">
      <c r="A99" s="30" t="s">
        <v>37</v>
      </c>
      <c r="B99" s="38">
        <f>QDL!$G$24</f>
        <v>2</v>
      </c>
      <c r="C99" s="139"/>
      <c r="D99" s="139"/>
      <c r="E99" s="139"/>
      <c r="F99" s="139"/>
      <c r="G99" s="139"/>
      <c r="H99" s="139"/>
      <c r="I99" s="139"/>
      <c r="J99" s="4"/>
      <c r="N99" s="4"/>
      <c r="O99" s="70"/>
      <c r="P99" s="84"/>
      <c r="Q99" s="84"/>
      <c r="R99" s="70"/>
      <c r="S99" s="99"/>
      <c r="T99" s="85"/>
      <c r="U99" s="4"/>
      <c r="V99" s="4"/>
      <c r="W99" s="4"/>
    </row>
    <row r="100" ht="15.75" customHeight="1">
      <c r="A100" s="46" t="s">
        <v>248</v>
      </c>
      <c r="B100" s="47"/>
      <c r="C100" s="47"/>
      <c r="D100" s="47"/>
      <c r="E100" s="47"/>
      <c r="F100" s="47"/>
      <c r="G100" s="47"/>
      <c r="H100" s="47"/>
      <c r="I100" s="47"/>
      <c r="J100" s="4"/>
      <c r="N100" s="4"/>
      <c r="O100" s="48" t="s">
        <v>248</v>
      </c>
      <c r="P100" s="2"/>
      <c r="Q100" s="2"/>
      <c r="R100" s="2"/>
      <c r="S100" s="2"/>
      <c r="T100" s="3"/>
      <c r="U100" s="4"/>
      <c r="V100" s="4"/>
      <c r="W100" s="4"/>
    </row>
    <row r="101" ht="15.75" customHeight="1">
      <c r="A101" s="52" t="s">
        <v>249</v>
      </c>
      <c r="B101" s="52" t="s">
        <v>44</v>
      </c>
      <c r="C101" s="52" t="s">
        <v>45</v>
      </c>
      <c r="D101" s="52" t="s">
        <v>46</v>
      </c>
      <c r="E101" s="52" t="s">
        <v>49</v>
      </c>
      <c r="F101" s="52" t="s">
        <v>51</v>
      </c>
      <c r="G101" s="52" t="s">
        <v>52</v>
      </c>
      <c r="H101" s="52" t="s">
        <v>53</v>
      </c>
      <c r="I101" s="52" t="s">
        <v>54</v>
      </c>
      <c r="J101" s="4"/>
      <c r="K101" s="57" t="s">
        <v>55</v>
      </c>
      <c r="L101" s="57" t="s">
        <v>56</v>
      </c>
      <c r="M101" s="57" t="s">
        <v>57</v>
      </c>
      <c r="N101" s="4"/>
      <c r="O101" s="206" t="str">
        <f t="shared" ref="O101:O103" si="136">A101</f>
        <v>Circuito L21</v>
      </c>
      <c r="P101" s="206" t="s">
        <v>32</v>
      </c>
      <c r="Q101" s="206" t="s">
        <v>45</v>
      </c>
      <c r="R101" s="206" t="s">
        <v>58</v>
      </c>
      <c r="S101" s="206" t="s">
        <v>53</v>
      </c>
      <c r="T101" s="206" t="s">
        <v>54</v>
      </c>
      <c r="U101" s="4"/>
      <c r="V101" s="4"/>
      <c r="W101" s="4"/>
    </row>
    <row r="102" ht="15.75" customHeight="1">
      <c r="A102" s="62" t="s">
        <v>250</v>
      </c>
      <c r="B102" s="64">
        <f>(70*5)/220</f>
        <v>1.590909091</v>
      </c>
      <c r="C102" s="62">
        <f t="shared" ref="C102:C103" si="138">K102+(L102*1.5)+M102</f>
        <v>4.9</v>
      </c>
      <c r="D102" s="62">
        <f t="shared" ref="D102:D103" si="139">14.8137*10^-3</f>
        <v>0.0148137</v>
      </c>
      <c r="E102" s="62">
        <f t="shared" ref="E102:E103" si="140">0.1378*10^-3</f>
        <v>0.0001378</v>
      </c>
      <c r="F102" s="62">
        <f>QDL!K$24</f>
        <v>0.98</v>
      </c>
      <c r="G102" s="64">
        <f t="shared" ref="G102:G103" si="141">2*B102*C102*(D102*F102+E102*SIN(ACOS(F102)))</f>
        <v>0.2267674006</v>
      </c>
      <c r="H102" s="74">
        <f t="shared" ref="H102:H103" si="142">G102/220</f>
        <v>0.001030760912</v>
      </c>
      <c r="I102" s="74">
        <f>H102</f>
        <v>0.001030760912</v>
      </c>
      <c r="J102" s="4"/>
      <c r="K102" s="4">
        <v>1.9</v>
      </c>
      <c r="L102" s="4">
        <v>1.0</v>
      </c>
      <c r="M102" s="4">
        <v>1.5</v>
      </c>
      <c r="N102" s="4"/>
      <c r="O102" s="86" t="str">
        <f t="shared" si="136"/>
        <v>QDL7-Lu1</v>
      </c>
      <c r="P102" s="88">
        <f t="shared" ref="P102:Q102" si="137">B102</f>
        <v>1.590909091</v>
      </c>
      <c r="Q102" s="88">
        <f t="shared" si="137"/>
        <v>4.9</v>
      </c>
      <c r="R102" s="86">
        <v>27.4</v>
      </c>
      <c r="S102" s="89">
        <f t="shared" ref="S102:S103" si="144">(Q102/1000)*P102*R102*(100/220)/100</f>
        <v>0.0009708884298</v>
      </c>
      <c r="T102" s="91">
        <f>S102</f>
        <v>0.0009708884298</v>
      </c>
      <c r="U102" s="4"/>
      <c r="V102" s="4"/>
      <c r="W102" s="4"/>
    </row>
    <row r="103" ht="15.75" customHeight="1">
      <c r="A103" s="116" t="s">
        <v>76</v>
      </c>
      <c r="B103" s="117">
        <f>(70*3)/220</f>
        <v>0.9545454545</v>
      </c>
      <c r="C103" s="116">
        <f t="shared" si="138"/>
        <v>4.12</v>
      </c>
      <c r="D103" s="116">
        <f t="shared" si="139"/>
        <v>0.0148137</v>
      </c>
      <c r="E103" s="116">
        <f t="shared" si="140"/>
        <v>0.0001378</v>
      </c>
      <c r="F103" s="116">
        <f>QDL!K$24</f>
        <v>0.98</v>
      </c>
      <c r="G103" s="117">
        <f t="shared" si="141"/>
        <v>0.1144018397</v>
      </c>
      <c r="H103" s="118">
        <f t="shared" si="142"/>
        <v>0.0005200083621</v>
      </c>
      <c r="I103" s="118">
        <f>I102+H103</f>
        <v>0.001550769274</v>
      </c>
      <c r="J103" s="4"/>
      <c r="K103" s="4">
        <v>2.62</v>
      </c>
      <c r="L103" s="4">
        <v>1.0</v>
      </c>
      <c r="M103" s="4">
        <v>0.0</v>
      </c>
      <c r="N103" s="4"/>
      <c r="O103" s="86" t="str">
        <f t="shared" si="136"/>
        <v>Lu1-Lu2*</v>
      </c>
      <c r="P103" s="88">
        <f t="shared" ref="P103:Q103" si="143">B103</f>
        <v>0.9545454545</v>
      </c>
      <c r="Q103" s="88">
        <f t="shared" si="143"/>
        <v>4.12</v>
      </c>
      <c r="R103" s="86">
        <v>27.4</v>
      </c>
      <c r="S103" s="89">
        <f t="shared" si="144"/>
        <v>0.0004898033058</v>
      </c>
      <c r="T103" s="91">
        <f>T102+S103</f>
        <v>0.001460691736</v>
      </c>
      <c r="U103" s="4"/>
      <c r="V103" s="4"/>
      <c r="W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U104" s="4"/>
      <c r="V104" s="4"/>
      <c r="W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 ht="15.75" customHeight="1">
      <c r="B265" s="214"/>
      <c r="J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 ht="15.75" customHeight="1">
      <c r="B266" s="214"/>
    </row>
    <row r="267" ht="15.75" customHeight="1">
      <c r="B267" s="214"/>
    </row>
    <row r="268" ht="15.75" customHeight="1">
      <c r="B268" s="214"/>
    </row>
    <row r="269" ht="15.75" customHeight="1">
      <c r="B269" s="214"/>
    </row>
    <row r="270" ht="15.75" customHeight="1">
      <c r="B270" s="214"/>
    </row>
    <row r="271" ht="15.75" customHeight="1">
      <c r="B271" s="214"/>
    </row>
    <row r="272" ht="15.75" customHeight="1">
      <c r="B272" s="214"/>
    </row>
    <row r="273" ht="15.75" customHeight="1">
      <c r="B273" s="214"/>
    </row>
    <row r="274" ht="15.75" customHeight="1">
      <c r="B274" s="214"/>
    </row>
    <row r="275" ht="15.75" customHeight="1">
      <c r="B275" s="214"/>
    </row>
    <row r="276" ht="15.75" customHeight="1">
      <c r="B276" s="214"/>
    </row>
    <row r="277" ht="15.75" customHeight="1">
      <c r="B277" s="214"/>
    </row>
    <row r="278" ht="15.75" customHeight="1">
      <c r="B278" s="214"/>
    </row>
    <row r="279" ht="15.75" customHeight="1">
      <c r="B279" s="214"/>
    </row>
    <row r="280" ht="15.75" customHeight="1">
      <c r="B280" s="214"/>
    </row>
    <row r="281" ht="15.75" customHeight="1">
      <c r="B281" s="214"/>
    </row>
    <row r="282" ht="15.75" customHeight="1">
      <c r="B282" s="214"/>
    </row>
    <row r="283" ht="15.75" customHeight="1">
      <c r="B283" s="214"/>
    </row>
    <row r="284" ht="15.75" customHeight="1">
      <c r="B284" s="214"/>
    </row>
    <row r="285" ht="15.75" customHeight="1">
      <c r="B285" s="214"/>
    </row>
    <row r="286" ht="15.75" customHeight="1">
      <c r="B286" s="214"/>
    </row>
    <row r="287" ht="15.75" customHeight="1">
      <c r="B287" s="214"/>
    </row>
    <row r="288" ht="15.75" customHeight="1">
      <c r="B288" s="214"/>
    </row>
    <row r="289" ht="15.75" customHeight="1">
      <c r="B289" s="214"/>
    </row>
    <row r="290" ht="15.75" customHeight="1">
      <c r="B290" s="214"/>
    </row>
    <row r="291" ht="15.75" customHeight="1">
      <c r="B291" s="214"/>
    </row>
    <row r="292" ht="15.75" customHeight="1">
      <c r="B292" s="214"/>
    </row>
    <row r="293" ht="15.75" customHeight="1">
      <c r="B293" s="214"/>
    </row>
    <row r="294" ht="15.75" customHeight="1">
      <c r="B294" s="214"/>
    </row>
    <row r="295" ht="15.75" customHeight="1">
      <c r="B295" s="214"/>
    </row>
    <row r="296" ht="15.75" customHeight="1">
      <c r="B296" s="214"/>
    </row>
    <row r="297" ht="15.75" customHeight="1">
      <c r="B297" s="214"/>
    </row>
    <row r="298" ht="15.75" customHeight="1">
      <c r="B298" s="214"/>
    </row>
    <row r="299" ht="15.75" customHeight="1">
      <c r="B299" s="214"/>
    </row>
    <row r="300" ht="15.75" customHeight="1">
      <c r="B300" s="214"/>
    </row>
    <row r="301" ht="15.75" customHeight="1">
      <c r="B301" s="214"/>
    </row>
    <row r="302" ht="15.75" customHeight="1">
      <c r="B302" s="214"/>
    </row>
    <row r="303" ht="15.75" customHeight="1">
      <c r="B303" s="214"/>
    </row>
    <row r="304" ht="15.75" customHeight="1">
      <c r="B304" s="214"/>
    </row>
    <row r="305" ht="15.75" customHeight="1">
      <c r="B305" s="214"/>
    </row>
    <row r="306" ht="15.75" customHeight="1">
      <c r="B306" s="214"/>
    </row>
    <row r="307" ht="15.75" customHeight="1">
      <c r="B307" s="214"/>
    </row>
    <row r="308" ht="15.75" customHeight="1">
      <c r="B308" s="214"/>
    </row>
    <row r="309" ht="15.75" customHeight="1">
      <c r="B309" s="214"/>
    </row>
    <row r="310" ht="15.75" customHeight="1">
      <c r="B310" s="214"/>
    </row>
    <row r="311" ht="15.75" customHeight="1">
      <c r="B311" s="214"/>
    </row>
    <row r="312" ht="15.75" customHeight="1">
      <c r="B312" s="214"/>
    </row>
    <row r="313" ht="15.75" customHeight="1">
      <c r="B313" s="214"/>
    </row>
    <row r="314" ht="15.75" customHeight="1">
      <c r="B314" s="214"/>
    </row>
    <row r="315" ht="15.75" customHeight="1">
      <c r="B315" s="214"/>
    </row>
    <row r="316" ht="15.75" customHeight="1">
      <c r="B316" s="214"/>
    </row>
    <row r="317" ht="15.75" customHeight="1">
      <c r="B317" s="214"/>
    </row>
    <row r="318" ht="15.75" customHeight="1">
      <c r="B318" s="214"/>
    </row>
    <row r="319" ht="15.75" customHeight="1">
      <c r="B319" s="214"/>
    </row>
    <row r="320" ht="15.75" customHeight="1">
      <c r="B320" s="214"/>
    </row>
    <row r="321" ht="15.75" customHeight="1">
      <c r="B321" s="214"/>
    </row>
    <row r="322" ht="15.75" customHeight="1">
      <c r="B322" s="214"/>
    </row>
    <row r="323" ht="15.75" customHeight="1">
      <c r="B323" s="214"/>
    </row>
    <row r="324" ht="15.75" customHeight="1">
      <c r="B324" s="214"/>
    </row>
    <row r="325" ht="15.75" customHeight="1">
      <c r="B325" s="214"/>
    </row>
    <row r="326" ht="15.75" customHeight="1">
      <c r="B326" s="214"/>
    </row>
    <row r="327" ht="15.75" customHeight="1">
      <c r="B327" s="214"/>
    </row>
    <row r="328" ht="15.75" customHeight="1">
      <c r="B328" s="214"/>
    </row>
    <row r="329" ht="15.75" customHeight="1">
      <c r="B329" s="214"/>
    </row>
    <row r="330" ht="15.75" customHeight="1">
      <c r="B330" s="214"/>
    </row>
    <row r="331" ht="15.75" customHeight="1">
      <c r="B331" s="214"/>
    </row>
    <row r="332" ht="15.75" customHeight="1">
      <c r="B332" s="214"/>
    </row>
    <row r="333" ht="15.75" customHeight="1">
      <c r="B333" s="214"/>
    </row>
    <row r="334" ht="15.75" customHeight="1">
      <c r="B334" s="214"/>
    </row>
    <row r="335" ht="15.75" customHeight="1">
      <c r="B335" s="214"/>
    </row>
    <row r="336" ht="15.75" customHeight="1">
      <c r="B336" s="214"/>
    </row>
    <row r="337" ht="15.75" customHeight="1">
      <c r="B337" s="214"/>
    </row>
    <row r="338" ht="15.75" customHeight="1">
      <c r="B338" s="214"/>
    </row>
    <row r="339" ht="15.75" customHeight="1">
      <c r="B339" s="214"/>
    </row>
    <row r="340" ht="15.75" customHeight="1">
      <c r="B340" s="214"/>
    </row>
    <row r="341" ht="15.75" customHeight="1">
      <c r="B341" s="214"/>
    </row>
    <row r="342" ht="15.75" customHeight="1">
      <c r="B342" s="214"/>
    </row>
    <row r="343" ht="15.75" customHeight="1">
      <c r="B343" s="214"/>
    </row>
    <row r="344" ht="15.75" customHeight="1">
      <c r="B344" s="214"/>
    </row>
    <row r="345" ht="15.75" customHeight="1">
      <c r="B345" s="214"/>
    </row>
    <row r="346" ht="15.75" customHeight="1">
      <c r="B346" s="214"/>
    </row>
    <row r="347" ht="15.75" customHeight="1">
      <c r="B347" s="214"/>
    </row>
    <row r="348" ht="15.75" customHeight="1">
      <c r="B348" s="214"/>
    </row>
    <row r="349" ht="15.75" customHeight="1">
      <c r="B349" s="214"/>
    </row>
    <row r="350" ht="15.75" customHeight="1">
      <c r="B350" s="214"/>
    </row>
    <row r="351" ht="15.75" customHeight="1">
      <c r="B351" s="214"/>
    </row>
    <row r="352" ht="15.75" customHeight="1">
      <c r="B352" s="214"/>
    </row>
    <row r="353" ht="15.75" customHeight="1">
      <c r="B353" s="214"/>
    </row>
    <row r="354" ht="15.75" customHeight="1">
      <c r="B354" s="214"/>
    </row>
    <row r="355" ht="15.75" customHeight="1">
      <c r="B355" s="214"/>
    </row>
    <row r="356" ht="15.75" customHeight="1">
      <c r="B356" s="214"/>
    </row>
    <row r="357" ht="15.75" customHeight="1">
      <c r="B357" s="214"/>
    </row>
    <row r="358" ht="15.75" customHeight="1">
      <c r="B358" s="214"/>
    </row>
    <row r="359" ht="15.75" customHeight="1">
      <c r="B359" s="214"/>
    </row>
    <row r="360" ht="15.75" customHeight="1">
      <c r="B360" s="214"/>
    </row>
    <row r="361" ht="15.75" customHeight="1">
      <c r="B361" s="214"/>
    </row>
    <row r="362" ht="15.75" customHeight="1">
      <c r="B362" s="214"/>
    </row>
    <row r="363" ht="15.75" customHeight="1">
      <c r="B363" s="214"/>
    </row>
    <row r="364" ht="15.75" customHeight="1">
      <c r="B364" s="214"/>
    </row>
    <row r="365" ht="15.75" customHeight="1">
      <c r="B365" s="214"/>
    </row>
    <row r="366" ht="15.75" customHeight="1">
      <c r="B366" s="214"/>
    </row>
    <row r="367" ht="15.75" customHeight="1">
      <c r="B367" s="214"/>
    </row>
    <row r="368" ht="15.75" customHeight="1">
      <c r="B368" s="214"/>
    </row>
    <row r="369" ht="15.75" customHeight="1">
      <c r="B369" s="214"/>
    </row>
    <row r="370" ht="15.75" customHeight="1">
      <c r="B370" s="214"/>
    </row>
    <row r="371" ht="15.75" customHeight="1">
      <c r="B371" s="214"/>
    </row>
    <row r="372" ht="15.75" customHeight="1">
      <c r="B372" s="214"/>
    </row>
    <row r="373" ht="15.75" customHeight="1">
      <c r="B373" s="214"/>
    </row>
    <row r="374" ht="15.75" customHeight="1">
      <c r="B374" s="214"/>
    </row>
    <row r="375" ht="15.75" customHeight="1">
      <c r="B375" s="214"/>
    </row>
    <row r="376" ht="15.75" customHeight="1">
      <c r="B376" s="214"/>
    </row>
    <row r="377" ht="15.75" customHeight="1">
      <c r="B377" s="214"/>
    </row>
    <row r="378" ht="15.75" customHeight="1">
      <c r="B378" s="214"/>
    </row>
    <row r="379" ht="15.75" customHeight="1">
      <c r="B379" s="214"/>
    </row>
    <row r="380" ht="15.75" customHeight="1">
      <c r="B380" s="214"/>
    </row>
    <row r="381" ht="15.75" customHeight="1">
      <c r="B381" s="214"/>
    </row>
    <row r="382" ht="15.75" customHeight="1">
      <c r="B382" s="214"/>
    </row>
    <row r="383" ht="15.75" customHeight="1">
      <c r="B383" s="214"/>
    </row>
    <row r="384" ht="15.75" customHeight="1">
      <c r="B384" s="214"/>
    </row>
    <row r="385" ht="15.75" customHeight="1">
      <c r="B385" s="214"/>
    </row>
    <row r="386" ht="15.75" customHeight="1">
      <c r="B386" s="214"/>
    </row>
    <row r="387" ht="15.75" customHeight="1">
      <c r="B387" s="214"/>
    </row>
    <row r="388" ht="15.75" customHeight="1">
      <c r="B388" s="214"/>
    </row>
    <row r="389" ht="15.75" customHeight="1">
      <c r="B389" s="214"/>
    </row>
    <row r="390" ht="15.75" customHeight="1">
      <c r="B390" s="214"/>
    </row>
    <row r="391" ht="15.75" customHeight="1">
      <c r="B391" s="214"/>
    </row>
    <row r="392" ht="15.75" customHeight="1">
      <c r="B392" s="214"/>
    </row>
    <row r="393" ht="15.75" customHeight="1">
      <c r="B393" s="214"/>
    </row>
    <row r="394" ht="15.75" customHeight="1">
      <c r="B394" s="214"/>
    </row>
    <row r="395" ht="15.75" customHeight="1">
      <c r="B395" s="214"/>
    </row>
    <row r="396" ht="15.75" customHeight="1">
      <c r="B396" s="214"/>
    </row>
    <row r="397" ht="15.75" customHeight="1">
      <c r="B397" s="214"/>
    </row>
    <row r="398" ht="15.75" customHeight="1">
      <c r="B398" s="214"/>
    </row>
    <row r="399" ht="15.75" customHeight="1">
      <c r="B399" s="214"/>
    </row>
    <row r="400" ht="15.75" customHeight="1">
      <c r="B400" s="214"/>
    </row>
    <row r="401" ht="15.75" customHeight="1">
      <c r="B401" s="214"/>
    </row>
    <row r="402" ht="15.75" customHeight="1">
      <c r="B402" s="214"/>
    </row>
    <row r="403" ht="15.75" customHeight="1">
      <c r="B403" s="214"/>
    </row>
    <row r="404" ht="15.75" customHeight="1">
      <c r="B404" s="214"/>
    </row>
    <row r="405" ht="15.75" customHeight="1">
      <c r="B405" s="214"/>
    </row>
    <row r="406" ht="15.75" customHeight="1">
      <c r="B406" s="214"/>
    </row>
    <row r="407" ht="15.75" customHeight="1">
      <c r="B407" s="214"/>
    </row>
    <row r="408" ht="15.75" customHeight="1">
      <c r="B408" s="214"/>
    </row>
    <row r="409" ht="15.75" customHeight="1">
      <c r="B409" s="214"/>
    </row>
    <row r="410" ht="15.75" customHeight="1">
      <c r="B410" s="214"/>
    </row>
    <row r="411" ht="15.75" customHeight="1">
      <c r="B411" s="214"/>
    </row>
    <row r="412" ht="15.75" customHeight="1">
      <c r="B412" s="214"/>
    </row>
    <row r="413" ht="15.75" customHeight="1">
      <c r="B413" s="214"/>
    </row>
    <row r="414" ht="15.75" customHeight="1">
      <c r="B414" s="214"/>
    </row>
    <row r="415" ht="15.75" customHeight="1">
      <c r="B415" s="214"/>
    </row>
    <row r="416" ht="15.75" customHeight="1">
      <c r="B416" s="214"/>
    </row>
    <row r="417" ht="15.75" customHeight="1">
      <c r="B417" s="214"/>
    </row>
    <row r="418" ht="15.75" customHeight="1">
      <c r="B418" s="214"/>
    </row>
    <row r="419" ht="15.75" customHeight="1">
      <c r="B419" s="214"/>
    </row>
    <row r="420" ht="15.75" customHeight="1">
      <c r="B420" s="214"/>
    </row>
    <row r="421" ht="15.75" customHeight="1">
      <c r="B421" s="214"/>
    </row>
    <row r="422" ht="15.75" customHeight="1">
      <c r="B422" s="214"/>
    </row>
    <row r="423" ht="15.75" customHeight="1">
      <c r="B423" s="214"/>
    </row>
    <row r="424" ht="15.75" customHeight="1">
      <c r="B424" s="214"/>
    </row>
    <row r="425" ht="15.75" customHeight="1">
      <c r="B425" s="214"/>
    </row>
    <row r="426" ht="15.75" customHeight="1">
      <c r="B426" s="214"/>
    </row>
    <row r="427" ht="15.75" customHeight="1">
      <c r="B427" s="214"/>
    </row>
    <row r="428" ht="15.75" customHeight="1">
      <c r="B428" s="214"/>
    </row>
    <row r="429" ht="15.75" customHeight="1">
      <c r="B429" s="214"/>
    </row>
    <row r="430" ht="15.75" customHeight="1">
      <c r="B430" s="214"/>
    </row>
    <row r="431" ht="15.75" customHeight="1">
      <c r="B431" s="214"/>
    </row>
    <row r="432" ht="15.75" customHeight="1">
      <c r="B432" s="214"/>
    </row>
    <row r="433" ht="15.75" customHeight="1">
      <c r="B433" s="214"/>
    </row>
    <row r="434" ht="15.75" customHeight="1">
      <c r="B434" s="214"/>
    </row>
    <row r="435" ht="15.75" customHeight="1">
      <c r="B435" s="214"/>
    </row>
    <row r="436" ht="15.75" customHeight="1">
      <c r="B436" s="214"/>
    </row>
    <row r="437" ht="15.75" customHeight="1">
      <c r="B437" s="214"/>
    </row>
    <row r="438" ht="15.75" customHeight="1">
      <c r="B438" s="214"/>
    </row>
    <row r="439" ht="15.75" customHeight="1">
      <c r="B439" s="214"/>
    </row>
    <row r="440" ht="15.75" customHeight="1">
      <c r="B440" s="214"/>
    </row>
    <row r="441" ht="15.75" customHeight="1">
      <c r="B441" s="214"/>
    </row>
    <row r="442" ht="15.75" customHeight="1">
      <c r="B442" s="214"/>
    </row>
    <row r="443" ht="15.75" customHeight="1">
      <c r="B443" s="214"/>
    </row>
    <row r="444" ht="15.75" customHeight="1">
      <c r="B444" s="214"/>
    </row>
    <row r="445" ht="15.75" customHeight="1">
      <c r="B445" s="214"/>
    </row>
    <row r="446" ht="15.75" customHeight="1">
      <c r="B446" s="214"/>
    </row>
    <row r="447" ht="15.75" customHeight="1">
      <c r="B447" s="214"/>
    </row>
    <row r="448" ht="15.75" customHeight="1">
      <c r="B448" s="214"/>
    </row>
    <row r="449" ht="15.75" customHeight="1">
      <c r="B449" s="214"/>
    </row>
    <row r="450" ht="15.75" customHeight="1">
      <c r="B450" s="214"/>
    </row>
    <row r="451" ht="15.75" customHeight="1">
      <c r="B451" s="214"/>
    </row>
    <row r="452" ht="15.75" customHeight="1">
      <c r="B452" s="214"/>
    </row>
    <row r="453" ht="15.75" customHeight="1">
      <c r="B453" s="214"/>
    </row>
    <row r="454" ht="15.75" customHeight="1">
      <c r="B454" s="214"/>
    </row>
    <row r="455" ht="15.75" customHeight="1">
      <c r="B455" s="214"/>
    </row>
    <row r="456" ht="15.75" customHeight="1">
      <c r="B456" s="214"/>
    </row>
    <row r="457" ht="15.75" customHeight="1">
      <c r="B457" s="214"/>
    </row>
    <row r="458" ht="15.75" customHeight="1">
      <c r="B458" s="214"/>
    </row>
    <row r="459" ht="15.75" customHeight="1">
      <c r="B459" s="214"/>
    </row>
    <row r="460" ht="15.75" customHeight="1">
      <c r="B460" s="214"/>
    </row>
    <row r="461" ht="15.75" customHeight="1">
      <c r="B461" s="214"/>
    </row>
    <row r="462" ht="15.75" customHeight="1">
      <c r="B462" s="214"/>
    </row>
    <row r="463" ht="15.75" customHeight="1">
      <c r="B463" s="214"/>
    </row>
    <row r="464" ht="15.75" customHeight="1">
      <c r="B464" s="214"/>
    </row>
    <row r="465" ht="15.75" customHeight="1">
      <c r="B465" s="214"/>
    </row>
    <row r="466" ht="15.75" customHeight="1">
      <c r="B466" s="214"/>
    </row>
    <row r="467" ht="15.75" customHeight="1">
      <c r="B467" s="214"/>
    </row>
    <row r="468" ht="15.75" customHeight="1">
      <c r="B468" s="214"/>
    </row>
    <row r="469" ht="15.75" customHeight="1">
      <c r="B469" s="214"/>
    </row>
    <row r="470" ht="15.75" customHeight="1">
      <c r="B470" s="214"/>
    </row>
    <row r="471" ht="15.75" customHeight="1">
      <c r="B471" s="214"/>
    </row>
    <row r="472" ht="15.75" customHeight="1">
      <c r="B472" s="214"/>
    </row>
    <row r="473" ht="15.75" customHeight="1">
      <c r="B473" s="214"/>
    </row>
    <row r="474" ht="15.75" customHeight="1">
      <c r="B474" s="214"/>
    </row>
    <row r="475" ht="15.75" customHeight="1">
      <c r="B475" s="214"/>
    </row>
    <row r="476" ht="15.75" customHeight="1">
      <c r="B476" s="214"/>
    </row>
    <row r="477" ht="15.75" customHeight="1">
      <c r="B477" s="214"/>
    </row>
    <row r="478" ht="15.75" customHeight="1">
      <c r="B478" s="214"/>
    </row>
    <row r="479" ht="15.75" customHeight="1">
      <c r="B479" s="214"/>
    </row>
    <row r="480" ht="15.75" customHeight="1">
      <c r="B480" s="214"/>
    </row>
    <row r="481" ht="15.75" customHeight="1">
      <c r="B481" s="214"/>
    </row>
    <row r="482" ht="15.75" customHeight="1">
      <c r="B482" s="214"/>
    </row>
    <row r="483" ht="15.75" customHeight="1">
      <c r="B483" s="214"/>
    </row>
    <row r="484" ht="15.75" customHeight="1">
      <c r="B484" s="214"/>
    </row>
    <row r="485" ht="15.75" customHeight="1">
      <c r="B485" s="214"/>
    </row>
    <row r="486" ht="15.75" customHeight="1">
      <c r="B486" s="214"/>
    </row>
    <row r="487" ht="15.75" customHeight="1">
      <c r="B487" s="214"/>
    </row>
    <row r="488" ht="15.75" customHeight="1">
      <c r="B488" s="214"/>
    </row>
    <row r="489" ht="15.75" customHeight="1">
      <c r="B489" s="214"/>
    </row>
    <row r="490" ht="15.75" customHeight="1">
      <c r="B490" s="214"/>
    </row>
    <row r="491" ht="15.75" customHeight="1">
      <c r="B491" s="214"/>
    </row>
    <row r="492" ht="15.75" customHeight="1">
      <c r="B492" s="214"/>
    </row>
    <row r="493" ht="15.75" customHeight="1">
      <c r="B493" s="214"/>
    </row>
    <row r="494" ht="15.75" customHeight="1">
      <c r="B494" s="214"/>
    </row>
    <row r="495" ht="15.75" customHeight="1">
      <c r="B495" s="214"/>
    </row>
    <row r="496" ht="15.75" customHeight="1">
      <c r="B496" s="214"/>
    </row>
    <row r="497" ht="15.75" customHeight="1">
      <c r="B497" s="214"/>
    </row>
    <row r="498" ht="15.75" customHeight="1">
      <c r="B498" s="214"/>
    </row>
    <row r="499" ht="15.75" customHeight="1">
      <c r="B499" s="214"/>
    </row>
    <row r="500" ht="15.75" customHeight="1">
      <c r="B500" s="214"/>
    </row>
    <row r="501" ht="15.75" customHeight="1">
      <c r="B501" s="214"/>
    </row>
    <row r="502" ht="15.75" customHeight="1">
      <c r="B502" s="214"/>
    </row>
    <row r="503" ht="15.75" customHeight="1">
      <c r="B503" s="214"/>
    </row>
    <row r="504" ht="15.75" customHeight="1">
      <c r="B504" s="214"/>
    </row>
    <row r="505" ht="15.75" customHeight="1">
      <c r="B505" s="214"/>
    </row>
    <row r="506" ht="15.75" customHeight="1">
      <c r="B506" s="214"/>
    </row>
    <row r="507" ht="15.75" customHeight="1">
      <c r="B507" s="214"/>
    </row>
    <row r="508" ht="15.75" customHeight="1">
      <c r="B508" s="214"/>
    </row>
    <row r="509" ht="15.75" customHeight="1">
      <c r="B509" s="214"/>
    </row>
    <row r="510" ht="15.75" customHeight="1">
      <c r="B510" s="214"/>
    </row>
    <row r="511" ht="15.75" customHeight="1">
      <c r="B511" s="214"/>
    </row>
    <row r="512" ht="15.75" customHeight="1">
      <c r="B512" s="214"/>
    </row>
    <row r="513" ht="15.75" customHeight="1">
      <c r="B513" s="214"/>
    </row>
    <row r="514" ht="15.75" customHeight="1">
      <c r="B514" s="214"/>
    </row>
    <row r="515" ht="15.75" customHeight="1">
      <c r="B515" s="214"/>
    </row>
    <row r="516" ht="15.75" customHeight="1">
      <c r="B516" s="214"/>
    </row>
    <row r="517" ht="15.75" customHeight="1">
      <c r="B517" s="214"/>
    </row>
    <row r="518" ht="15.75" customHeight="1">
      <c r="B518" s="214"/>
    </row>
    <row r="519" ht="15.75" customHeight="1">
      <c r="B519" s="214"/>
    </row>
    <row r="520" ht="15.75" customHeight="1">
      <c r="B520" s="214"/>
    </row>
    <row r="521" ht="15.75" customHeight="1">
      <c r="B521" s="214"/>
    </row>
    <row r="522" ht="15.75" customHeight="1">
      <c r="B522" s="214"/>
    </row>
    <row r="523" ht="15.75" customHeight="1">
      <c r="B523" s="214"/>
    </row>
    <row r="524" ht="15.75" customHeight="1">
      <c r="B524" s="214"/>
    </row>
    <row r="525" ht="15.75" customHeight="1">
      <c r="B525" s="214"/>
    </row>
    <row r="526" ht="15.75" customHeight="1">
      <c r="B526" s="214"/>
    </row>
    <row r="527" ht="15.75" customHeight="1">
      <c r="B527" s="214"/>
    </row>
    <row r="528" ht="15.75" customHeight="1">
      <c r="B528" s="214"/>
    </row>
    <row r="529" ht="15.75" customHeight="1">
      <c r="B529" s="214"/>
    </row>
    <row r="530" ht="15.75" customHeight="1">
      <c r="B530" s="214"/>
    </row>
    <row r="531" ht="15.75" customHeight="1">
      <c r="B531" s="214"/>
    </row>
    <row r="532" ht="15.75" customHeight="1">
      <c r="B532" s="214"/>
    </row>
    <row r="533" ht="15.75" customHeight="1">
      <c r="B533" s="214"/>
    </row>
    <row r="534" ht="15.75" customHeight="1">
      <c r="B534" s="214"/>
    </row>
    <row r="535" ht="15.75" customHeight="1">
      <c r="B535" s="214"/>
    </row>
    <row r="536" ht="15.75" customHeight="1">
      <c r="B536" s="214"/>
    </row>
    <row r="537" ht="15.75" customHeight="1">
      <c r="B537" s="214"/>
    </row>
    <row r="538" ht="15.75" customHeight="1">
      <c r="B538" s="214"/>
    </row>
    <row r="539" ht="15.75" customHeight="1">
      <c r="B539" s="214"/>
    </row>
    <row r="540" ht="15.75" customHeight="1">
      <c r="B540" s="214"/>
    </row>
    <row r="541" ht="15.75" customHeight="1">
      <c r="B541" s="214"/>
    </row>
    <row r="542" ht="15.75" customHeight="1">
      <c r="B542" s="214"/>
    </row>
    <row r="543" ht="15.75" customHeight="1">
      <c r="B543" s="214"/>
    </row>
    <row r="544" ht="15.75" customHeight="1">
      <c r="B544" s="214"/>
    </row>
    <row r="545" ht="15.75" customHeight="1">
      <c r="B545" s="214"/>
    </row>
    <row r="546" ht="15.75" customHeight="1">
      <c r="B546" s="214"/>
    </row>
    <row r="547" ht="15.75" customHeight="1">
      <c r="B547" s="214"/>
    </row>
    <row r="548" ht="15.75" customHeight="1">
      <c r="B548" s="214"/>
    </row>
    <row r="549" ht="15.75" customHeight="1">
      <c r="B549" s="214"/>
    </row>
    <row r="550" ht="15.75" customHeight="1">
      <c r="B550" s="214"/>
    </row>
    <row r="551" ht="15.75" customHeight="1">
      <c r="B551" s="214"/>
    </row>
    <row r="552" ht="15.75" customHeight="1">
      <c r="B552" s="214"/>
    </row>
    <row r="553" ht="15.75" customHeight="1">
      <c r="B553" s="214"/>
    </row>
    <row r="554" ht="15.75" customHeight="1">
      <c r="B554" s="214"/>
    </row>
    <row r="555" ht="15.75" customHeight="1">
      <c r="B555" s="214"/>
    </row>
    <row r="556" ht="15.75" customHeight="1">
      <c r="B556" s="214"/>
    </row>
    <row r="557" ht="15.75" customHeight="1">
      <c r="B557" s="214"/>
    </row>
    <row r="558" ht="15.75" customHeight="1">
      <c r="B558" s="214"/>
    </row>
    <row r="559" ht="15.75" customHeight="1">
      <c r="B559" s="214"/>
    </row>
    <row r="560" ht="15.75" customHeight="1">
      <c r="B560" s="214"/>
    </row>
    <row r="561" ht="15.75" customHeight="1">
      <c r="B561" s="214"/>
    </row>
    <row r="562" ht="15.75" customHeight="1">
      <c r="B562" s="214"/>
    </row>
    <row r="563" ht="15.75" customHeight="1">
      <c r="B563" s="214"/>
    </row>
    <row r="564" ht="15.75" customHeight="1">
      <c r="B564" s="214"/>
    </row>
    <row r="565" ht="15.75" customHeight="1">
      <c r="B565" s="214"/>
    </row>
    <row r="566" ht="15.75" customHeight="1">
      <c r="B566" s="214"/>
    </row>
    <row r="567" ht="15.75" customHeight="1">
      <c r="B567" s="214"/>
    </row>
    <row r="568" ht="15.75" customHeight="1">
      <c r="B568" s="214"/>
    </row>
    <row r="569" ht="15.75" customHeight="1">
      <c r="B569" s="214"/>
    </row>
    <row r="570" ht="15.75" customHeight="1">
      <c r="B570" s="214"/>
    </row>
    <row r="571" ht="15.75" customHeight="1">
      <c r="B571" s="214"/>
    </row>
    <row r="572" ht="15.75" customHeight="1">
      <c r="B572" s="214"/>
    </row>
    <row r="573" ht="15.75" customHeight="1">
      <c r="B573" s="214"/>
    </row>
    <row r="574" ht="15.75" customHeight="1">
      <c r="B574" s="214"/>
    </row>
    <row r="575" ht="15.75" customHeight="1">
      <c r="B575" s="214"/>
    </row>
    <row r="576" ht="15.75" customHeight="1">
      <c r="B576" s="214"/>
    </row>
    <row r="577" ht="15.75" customHeight="1">
      <c r="B577" s="214"/>
    </row>
    <row r="578" ht="15.75" customHeight="1">
      <c r="B578" s="214"/>
    </row>
    <row r="579" ht="15.75" customHeight="1">
      <c r="B579" s="214"/>
    </row>
    <row r="580" ht="15.75" customHeight="1">
      <c r="B580" s="214"/>
    </row>
    <row r="581" ht="15.75" customHeight="1">
      <c r="B581" s="214"/>
    </row>
    <row r="582" ht="15.75" customHeight="1">
      <c r="B582" s="214"/>
    </row>
    <row r="583" ht="15.75" customHeight="1">
      <c r="B583" s="214"/>
    </row>
    <row r="584" ht="15.75" customHeight="1">
      <c r="B584" s="214"/>
    </row>
    <row r="585" ht="15.75" customHeight="1">
      <c r="B585" s="214"/>
    </row>
    <row r="586" ht="15.75" customHeight="1">
      <c r="B586" s="214"/>
    </row>
    <row r="587" ht="15.75" customHeight="1">
      <c r="B587" s="214"/>
    </row>
    <row r="588" ht="15.75" customHeight="1">
      <c r="B588" s="214"/>
    </row>
    <row r="589" ht="15.75" customHeight="1">
      <c r="B589" s="214"/>
    </row>
    <row r="590" ht="15.75" customHeight="1">
      <c r="B590" s="214"/>
    </row>
    <row r="591" ht="15.75" customHeight="1">
      <c r="B591" s="214"/>
    </row>
    <row r="592" ht="15.75" customHeight="1">
      <c r="B592" s="214"/>
    </row>
    <row r="593" ht="15.75" customHeight="1">
      <c r="B593" s="214"/>
    </row>
    <row r="594" ht="15.75" customHeight="1">
      <c r="B594" s="214"/>
    </row>
    <row r="595" ht="15.75" customHeight="1">
      <c r="B595" s="214"/>
    </row>
    <row r="596" ht="15.75" customHeight="1">
      <c r="B596" s="214"/>
    </row>
    <row r="597" ht="15.75" customHeight="1">
      <c r="B597" s="214"/>
    </row>
    <row r="598" ht="15.75" customHeight="1">
      <c r="B598" s="214"/>
    </row>
    <row r="599" ht="15.75" customHeight="1">
      <c r="B599" s="214"/>
    </row>
    <row r="600" ht="15.75" customHeight="1">
      <c r="B600" s="214"/>
    </row>
    <row r="601" ht="15.75" customHeight="1">
      <c r="B601" s="214"/>
    </row>
    <row r="602" ht="15.75" customHeight="1">
      <c r="B602" s="214"/>
    </row>
    <row r="603" ht="15.75" customHeight="1">
      <c r="B603" s="214"/>
    </row>
    <row r="604" ht="15.75" customHeight="1">
      <c r="B604" s="214"/>
    </row>
    <row r="605" ht="15.75" customHeight="1">
      <c r="B605" s="214"/>
    </row>
    <row r="606" ht="15.75" customHeight="1">
      <c r="B606" s="214"/>
    </row>
    <row r="607" ht="15.75" customHeight="1">
      <c r="B607" s="214"/>
    </row>
    <row r="608" ht="15.75" customHeight="1">
      <c r="B608" s="214"/>
    </row>
    <row r="609" ht="15.75" customHeight="1">
      <c r="B609" s="214"/>
    </row>
    <row r="610" ht="15.75" customHeight="1">
      <c r="B610" s="214"/>
    </row>
    <row r="611" ht="15.75" customHeight="1">
      <c r="B611" s="214"/>
    </row>
    <row r="612" ht="15.75" customHeight="1">
      <c r="B612" s="214"/>
    </row>
    <row r="613" ht="15.75" customHeight="1">
      <c r="B613" s="214"/>
    </row>
    <row r="614" ht="15.75" customHeight="1">
      <c r="B614" s="214"/>
    </row>
    <row r="615" ht="15.75" customHeight="1">
      <c r="B615" s="214"/>
    </row>
    <row r="616" ht="15.75" customHeight="1">
      <c r="B616" s="214"/>
    </row>
    <row r="617" ht="15.75" customHeight="1">
      <c r="B617" s="214"/>
    </row>
    <row r="618" ht="15.75" customHeight="1">
      <c r="B618" s="214"/>
    </row>
    <row r="619" ht="15.75" customHeight="1">
      <c r="B619" s="214"/>
    </row>
    <row r="620" ht="15.75" customHeight="1">
      <c r="B620" s="214"/>
    </row>
    <row r="621" ht="15.75" customHeight="1">
      <c r="B621" s="214"/>
    </row>
    <row r="622" ht="15.75" customHeight="1">
      <c r="B622" s="214"/>
    </row>
    <row r="623" ht="15.75" customHeight="1">
      <c r="B623" s="214"/>
    </row>
    <row r="624" ht="15.75" customHeight="1">
      <c r="B624" s="214"/>
    </row>
    <row r="625" ht="15.75" customHeight="1">
      <c r="B625" s="214"/>
    </row>
    <row r="626" ht="15.75" customHeight="1">
      <c r="B626" s="214"/>
    </row>
    <row r="627" ht="15.75" customHeight="1">
      <c r="B627" s="214"/>
    </row>
    <row r="628" ht="15.75" customHeight="1">
      <c r="B628" s="214"/>
    </row>
    <row r="629" ht="15.75" customHeight="1">
      <c r="B629" s="214"/>
    </row>
    <row r="630" ht="15.75" customHeight="1">
      <c r="B630" s="214"/>
    </row>
    <row r="631" ht="15.75" customHeight="1">
      <c r="B631" s="214"/>
    </row>
    <row r="632" ht="15.75" customHeight="1">
      <c r="B632" s="214"/>
    </row>
    <row r="633" ht="15.75" customHeight="1">
      <c r="B633" s="214"/>
    </row>
    <row r="634" ht="15.75" customHeight="1">
      <c r="B634" s="214"/>
    </row>
    <row r="635" ht="15.75" customHeight="1">
      <c r="B635" s="214"/>
    </row>
    <row r="636" ht="15.75" customHeight="1">
      <c r="B636" s="214"/>
    </row>
    <row r="637" ht="15.75" customHeight="1">
      <c r="B637" s="214"/>
    </row>
    <row r="638" ht="15.75" customHeight="1">
      <c r="B638" s="214"/>
    </row>
    <row r="639" ht="15.75" customHeight="1">
      <c r="B639" s="214"/>
    </row>
    <row r="640" ht="15.75" customHeight="1">
      <c r="B640" s="214"/>
    </row>
    <row r="641" ht="15.75" customHeight="1">
      <c r="B641" s="214"/>
    </row>
    <row r="642" ht="15.75" customHeight="1">
      <c r="B642" s="214"/>
    </row>
    <row r="643" ht="15.75" customHeight="1">
      <c r="B643" s="214"/>
    </row>
    <row r="644" ht="15.75" customHeight="1">
      <c r="B644" s="214"/>
    </row>
    <row r="645" ht="15.75" customHeight="1">
      <c r="B645" s="214"/>
    </row>
    <row r="646" ht="15.75" customHeight="1">
      <c r="B646" s="214"/>
    </row>
    <row r="647" ht="15.75" customHeight="1">
      <c r="B647" s="214"/>
    </row>
    <row r="648" ht="15.75" customHeight="1">
      <c r="B648" s="214"/>
    </row>
    <row r="649" ht="15.75" customHeight="1">
      <c r="B649" s="214"/>
    </row>
    <row r="650" ht="15.75" customHeight="1">
      <c r="B650" s="214"/>
    </row>
    <row r="651" ht="15.75" customHeight="1">
      <c r="B651" s="214"/>
    </row>
    <row r="652" ht="15.75" customHeight="1">
      <c r="B652" s="214"/>
    </row>
    <row r="653" ht="15.75" customHeight="1">
      <c r="B653" s="214"/>
    </row>
    <row r="654" ht="15.75" customHeight="1">
      <c r="B654" s="214"/>
    </row>
    <row r="655" ht="15.75" customHeight="1">
      <c r="B655" s="214"/>
    </row>
    <row r="656" ht="15.75" customHeight="1">
      <c r="B656" s="214"/>
    </row>
    <row r="657" ht="15.75" customHeight="1">
      <c r="B657" s="214"/>
    </row>
    <row r="658" ht="15.75" customHeight="1">
      <c r="B658" s="214"/>
    </row>
    <row r="659" ht="15.75" customHeight="1">
      <c r="B659" s="214"/>
    </row>
    <row r="660" ht="15.75" customHeight="1">
      <c r="B660" s="214"/>
    </row>
    <row r="661" ht="15.75" customHeight="1">
      <c r="B661" s="214"/>
    </row>
    <row r="662" ht="15.75" customHeight="1">
      <c r="B662" s="214"/>
    </row>
    <row r="663" ht="15.75" customHeight="1">
      <c r="B663" s="214"/>
    </row>
    <row r="664" ht="15.75" customHeight="1">
      <c r="B664" s="214"/>
    </row>
    <row r="665" ht="15.75" customHeight="1">
      <c r="B665" s="214"/>
    </row>
    <row r="666" ht="15.75" customHeight="1">
      <c r="B666" s="214"/>
    </row>
    <row r="667" ht="15.75" customHeight="1">
      <c r="B667" s="214"/>
    </row>
    <row r="668" ht="15.75" customHeight="1">
      <c r="B668" s="214"/>
    </row>
    <row r="669" ht="15.75" customHeight="1">
      <c r="B669" s="214"/>
    </row>
    <row r="670" ht="15.75" customHeight="1">
      <c r="B670" s="214"/>
    </row>
    <row r="671" ht="15.75" customHeight="1">
      <c r="B671" s="214"/>
    </row>
    <row r="672" ht="15.75" customHeight="1">
      <c r="B672" s="214"/>
    </row>
    <row r="673" ht="15.75" customHeight="1">
      <c r="B673" s="214"/>
    </row>
    <row r="674" ht="15.75" customHeight="1">
      <c r="B674" s="214"/>
    </row>
    <row r="675" ht="15.75" customHeight="1">
      <c r="B675" s="214"/>
    </row>
    <row r="676" ht="15.75" customHeight="1">
      <c r="B676" s="214"/>
    </row>
    <row r="677" ht="15.75" customHeight="1">
      <c r="B677" s="214"/>
    </row>
    <row r="678" ht="15.75" customHeight="1">
      <c r="B678" s="214"/>
    </row>
    <row r="679" ht="15.75" customHeight="1">
      <c r="B679" s="214"/>
    </row>
    <row r="680" ht="15.75" customHeight="1">
      <c r="B680" s="214"/>
    </row>
    <row r="681" ht="15.75" customHeight="1">
      <c r="B681" s="214"/>
    </row>
    <row r="682" ht="15.75" customHeight="1">
      <c r="B682" s="214"/>
    </row>
    <row r="683" ht="15.75" customHeight="1">
      <c r="B683" s="214"/>
    </row>
    <row r="684" ht="15.75" customHeight="1">
      <c r="B684" s="214"/>
    </row>
    <row r="685" ht="15.75" customHeight="1">
      <c r="B685" s="214"/>
    </row>
    <row r="686" ht="15.75" customHeight="1">
      <c r="B686" s="214"/>
    </row>
    <row r="687" ht="15.75" customHeight="1">
      <c r="B687" s="214"/>
    </row>
    <row r="688" ht="15.75" customHeight="1">
      <c r="B688" s="214"/>
    </row>
    <row r="689" ht="15.75" customHeight="1">
      <c r="B689" s="214"/>
    </row>
    <row r="690" ht="15.75" customHeight="1">
      <c r="B690" s="214"/>
    </row>
    <row r="691" ht="15.75" customHeight="1">
      <c r="B691" s="214"/>
    </row>
    <row r="692" ht="15.75" customHeight="1">
      <c r="B692" s="214"/>
    </row>
    <row r="693" ht="15.75" customHeight="1">
      <c r="B693" s="214"/>
    </row>
    <row r="694" ht="15.75" customHeight="1">
      <c r="B694" s="214"/>
    </row>
    <row r="695" ht="15.75" customHeight="1">
      <c r="B695" s="214"/>
    </row>
    <row r="696" ht="15.75" customHeight="1">
      <c r="B696" s="214"/>
    </row>
    <row r="697" ht="15.75" customHeight="1">
      <c r="B697" s="214"/>
    </row>
    <row r="698" ht="15.75" customHeight="1">
      <c r="B698" s="214"/>
    </row>
    <row r="699" ht="15.75" customHeight="1">
      <c r="B699" s="214"/>
    </row>
    <row r="700" ht="15.75" customHeight="1">
      <c r="B700" s="214"/>
    </row>
    <row r="701" ht="15.75" customHeight="1">
      <c r="B701" s="214"/>
    </row>
    <row r="702" ht="15.75" customHeight="1">
      <c r="B702" s="214"/>
    </row>
    <row r="703" ht="15.75" customHeight="1">
      <c r="B703" s="214"/>
    </row>
    <row r="704" ht="15.75" customHeight="1">
      <c r="B704" s="214"/>
    </row>
    <row r="705" ht="15.75" customHeight="1">
      <c r="B705" s="214"/>
    </row>
    <row r="706" ht="15.75" customHeight="1">
      <c r="B706" s="214"/>
    </row>
    <row r="707" ht="15.75" customHeight="1">
      <c r="B707" s="214"/>
    </row>
    <row r="708" ht="15.75" customHeight="1">
      <c r="B708" s="214"/>
    </row>
    <row r="709" ht="15.75" customHeight="1">
      <c r="B709" s="214"/>
    </row>
    <row r="710" ht="15.75" customHeight="1">
      <c r="B710" s="214"/>
    </row>
    <row r="711" ht="15.75" customHeight="1">
      <c r="B711" s="214"/>
    </row>
    <row r="712" ht="15.75" customHeight="1">
      <c r="B712" s="214"/>
    </row>
    <row r="713" ht="15.75" customHeight="1">
      <c r="B713" s="214"/>
    </row>
    <row r="714" ht="15.75" customHeight="1">
      <c r="B714" s="214"/>
    </row>
    <row r="715" ht="15.75" customHeight="1">
      <c r="B715" s="214"/>
    </row>
    <row r="716" ht="15.75" customHeight="1">
      <c r="B716" s="214"/>
    </row>
    <row r="717" ht="15.75" customHeight="1">
      <c r="B717" s="214"/>
    </row>
    <row r="718" ht="15.75" customHeight="1">
      <c r="B718" s="214"/>
    </row>
    <row r="719" ht="15.75" customHeight="1">
      <c r="B719" s="214"/>
    </row>
    <row r="720" ht="15.75" customHeight="1">
      <c r="B720" s="214"/>
    </row>
    <row r="721" ht="15.75" customHeight="1">
      <c r="B721" s="214"/>
    </row>
    <row r="722" ht="15.75" customHeight="1">
      <c r="B722" s="214"/>
    </row>
    <row r="723" ht="15.75" customHeight="1">
      <c r="B723" s="214"/>
    </row>
    <row r="724" ht="15.75" customHeight="1">
      <c r="B724" s="214"/>
    </row>
    <row r="725" ht="15.75" customHeight="1">
      <c r="B725" s="214"/>
    </row>
    <row r="726" ht="15.75" customHeight="1">
      <c r="B726" s="214"/>
    </row>
    <row r="727" ht="15.75" customHeight="1">
      <c r="B727" s="214"/>
    </row>
    <row r="728" ht="15.75" customHeight="1">
      <c r="B728" s="214"/>
    </row>
    <row r="729" ht="15.75" customHeight="1">
      <c r="B729" s="214"/>
    </row>
    <row r="730" ht="15.75" customHeight="1">
      <c r="B730" s="214"/>
    </row>
    <row r="731" ht="15.75" customHeight="1">
      <c r="B731" s="214"/>
    </row>
    <row r="732" ht="15.75" customHeight="1">
      <c r="B732" s="214"/>
    </row>
    <row r="733" ht="15.75" customHeight="1">
      <c r="B733" s="214"/>
    </row>
    <row r="734" ht="15.75" customHeight="1">
      <c r="B734" s="214"/>
    </row>
    <row r="735" ht="15.75" customHeight="1">
      <c r="B735" s="214"/>
    </row>
    <row r="736" ht="15.75" customHeight="1">
      <c r="B736" s="214"/>
    </row>
    <row r="737" ht="15.75" customHeight="1">
      <c r="B737" s="214"/>
    </row>
    <row r="738" ht="15.75" customHeight="1">
      <c r="B738" s="214"/>
    </row>
    <row r="739" ht="15.75" customHeight="1">
      <c r="B739" s="214"/>
    </row>
    <row r="740" ht="15.75" customHeight="1">
      <c r="B740" s="214"/>
    </row>
    <row r="741" ht="15.75" customHeight="1">
      <c r="B741" s="214"/>
    </row>
    <row r="742" ht="15.75" customHeight="1">
      <c r="B742" s="214"/>
    </row>
    <row r="743" ht="15.75" customHeight="1">
      <c r="B743" s="214"/>
    </row>
    <row r="744" ht="15.75" customHeight="1">
      <c r="B744" s="214"/>
    </row>
    <row r="745" ht="15.75" customHeight="1">
      <c r="B745" s="214"/>
    </row>
    <row r="746" ht="15.75" customHeight="1">
      <c r="B746" s="214"/>
    </row>
    <row r="747" ht="15.75" customHeight="1">
      <c r="B747" s="214"/>
    </row>
    <row r="748" ht="15.75" customHeight="1">
      <c r="B748" s="214"/>
    </row>
    <row r="749" ht="15.75" customHeight="1">
      <c r="B749" s="214"/>
    </row>
    <row r="750" ht="15.75" customHeight="1">
      <c r="B750" s="214"/>
    </row>
    <row r="751" ht="15.75" customHeight="1">
      <c r="B751" s="214"/>
    </row>
    <row r="752" ht="15.75" customHeight="1">
      <c r="B752" s="214"/>
    </row>
    <row r="753" ht="15.75" customHeight="1">
      <c r="B753" s="214"/>
    </row>
    <row r="754" ht="15.75" customHeight="1">
      <c r="B754" s="214"/>
    </row>
    <row r="755" ht="15.75" customHeight="1">
      <c r="B755" s="214"/>
    </row>
    <row r="756" ht="15.75" customHeight="1">
      <c r="B756" s="214"/>
    </row>
    <row r="757" ht="15.75" customHeight="1">
      <c r="B757" s="214"/>
    </row>
    <row r="758" ht="15.75" customHeight="1">
      <c r="B758" s="214"/>
    </row>
    <row r="759" ht="15.75" customHeight="1">
      <c r="B759" s="214"/>
    </row>
    <row r="760" ht="15.75" customHeight="1">
      <c r="B760" s="214"/>
    </row>
    <row r="761" ht="15.75" customHeight="1">
      <c r="B761" s="214"/>
    </row>
    <row r="762" ht="15.75" customHeight="1">
      <c r="B762" s="214"/>
    </row>
    <row r="763" ht="15.75" customHeight="1">
      <c r="B763" s="214"/>
    </row>
    <row r="764" ht="15.75" customHeight="1">
      <c r="B764" s="214"/>
    </row>
    <row r="765" ht="15.75" customHeight="1">
      <c r="B765" s="214"/>
    </row>
    <row r="766" ht="15.75" customHeight="1">
      <c r="B766" s="214"/>
    </row>
    <row r="767" ht="15.75" customHeight="1">
      <c r="B767" s="214"/>
    </row>
    <row r="768" ht="15.75" customHeight="1">
      <c r="B768" s="214"/>
    </row>
    <row r="769" ht="15.75" customHeight="1">
      <c r="B769" s="214"/>
    </row>
    <row r="770" ht="15.75" customHeight="1">
      <c r="B770" s="214"/>
    </row>
    <row r="771" ht="15.75" customHeight="1">
      <c r="B771" s="214"/>
    </row>
    <row r="772" ht="15.75" customHeight="1">
      <c r="B772" s="214"/>
    </row>
    <row r="773" ht="15.75" customHeight="1">
      <c r="B773" s="214"/>
    </row>
    <row r="774" ht="15.75" customHeight="1">
      <c r="B774" s="214"/>
    </row>
    <row r="775" ht="15.75" customHeight="1">
      <c r="B775" s="214"/>
    </row>
    <row r="776" ht="15.75" customHeight="1">
      <c r="B776" s="214"/>
    </row>
    <row r="777" ht="15.75" customHeight="1">
      <c r="B777" s="214"/>
    </row>
    <row r="778" ht="15.75" customHeight="1">
      <c r="B778" s="214"/>
    </row>
    <row r="779" ht="15.75" customHeight="1">
      <c r="B779" s="214"/>
    </row>
    <row r="780" ht="15.75" customHeight="1">
      <c r="B780" s="214"/>
    </row>
    <row r="781" ht="15.75" customHeight="1">
      <c r="B781" s="214"/>
    </row>
    <row r="782" ht="15.75" customHeight="1">
      <c r="B782" s="214"/>
    </row>
    <row r="783" ht="15.75" customHeight="1">
      <c r="B783" s="214"/>
    </row>
    <row r="784" ht="15.75" customHeight="1">
      <c r="B784" s="214"/>
    </row>
    <row r="785" ht="15.75" customHeight="1">
      <c r="B785" s="214"/>
    </row>
    <row r="786" ht="15.75" customHeight="1">
      <c r="B786" s="214"/>
    </row>
    <row r="787" ht="15.75" customHeight="1">
      <c r="B787" s="214"/>
    </row>
    <row r="788" ht="15.75" customHeight="1">
      <c r="B788" s="214"/>
    </row>
    <row r="789" ht="15.75" customHeight="1">
      <c r="B789" s="214"/>
    </row>
    <row r="790" ht="15.75" customHeight="1">
      <c r="B790" s="214"/>
    </row>
    <row r="791" ht="15.75" customHeight="1">
      <c r="B791" s="214"/>
    </row>
    <row r="792" ht="15.75" customHeight="1">
      <c r="B792" s="214"/>
    </row>
    <row r="793" ht="15.75" customHeight="1">
      <c r="B793" s="214"/>
    </row>
    <row r="794" ht="15.75" customHeight="1">
      <c r="B794" s="214"/>
    </row>
    <row r="795" ht="15.75" customHeight="1">
      <c r="B795" s="214"/>
    </row>
    <row r="796" ht="15.75" customHeight="1">
      <c r="B796" s="214"/>
    </row>
    <row r="797" ht="15.75" customHeight="1">
      <c r="B797" s="214"/>
    </row>
    <row r="798" ht="15.75" customHeight="1">
      <c r="B798" s="214"/>
    </row>
    <row r="799" ht="15.75" customHeight="1">
      <c r="B799" s="214"/>
    </row>
    <row r="800" ht="15.75" customHeight="1">
      <c r="B800" s="214"/>
    </row>
    <row r="801" ht="15.75" customHeight="1">
      <c r="B801" s="214"/>
    </row>
    <row r="802" ht="15.75" customHeight="1">
      <c r="B802" s="214"/>
    </row>
    <row r="803" ht="15.75" customHeight="1">
      <c r="B803" s="214"/>
    </row>
    <row r="804" ht="15.75" customHeight="1">
      <c r="B804" s="214"/>
    </row>
    <row r="805" ht="15.75" customHeight="1">
      <c r="B805" s="214"/>
    </row>
    <row r="806" ht="15.75" customHeight="1">
      <c r="B806" s="214"/>
    </row>
    <row r="807" ht="15.75" customHeight="1">
      <c r="B807" s="214"/>
    </row>
    <row r="808" ht="15.75" customHeight="1">
      <c r="B808" s="214"/>
    </row>
    <row r="809" ht="15.75" customHeight="1">
      <c r="B809" s="214"/>
    </row>
    <row r="810" ht="15.75" customHeight="1">
      <c r="B810" s="214"/>
    </row>
    <row r="811" ht="15.75" customHeight="1">
      <c r="B811" s="214"/>
    </row>
    <row r="812" ht="15.75" customHeight="1">
      <c r="B812" s="214"/>
    </row>
    <row r="813" ht="15.75" customHeight="1">
      <c r="B813" s="214"/>
    </row>
    <row r="814" ht="15.75" customHeight="1">
      <c r="B814" s="214"/>
    </row>
    <row r="815" ht="15.75" customHeight="1">
      <c r="B815" s="214"/>
    </row>
    <row r="816" ht="15.75" customHeight="1">
      <c r="B816" s="214"/>
    </row>
    <row r="817" ht="15.75" customHeight="1">
      <c r="B817" s="214"/>
    </row>
    <row r="818" ht="15.75" customHeight="1">
      <c r="B818" s="214"/>
    </row>
    <row r="819" ht="15.75" customHeight="1">
      <c r="B819" s="214"/>
    </row>
    <row r="820" ht="15.75" customHeight="1">
      <c r="B820" s="214"/>
    </row>
    <row r="821" ht="15.75" customHeight="1">
      <c r="B821" s="214"/>
    </row>
    <row r="822" ht="15.75" customHeight="1">
      <c r="B822" s="214"/>
    </row>
    <row r="823" ht="15.75" customHeight="1">
      <c r="B823" s="214"/>
    </row>
    <row r="824" ht="15.75" customHeight="1">
      <c r="B824" s="214"/>
    </row>
    <row r="825" ht="15.75" customHeight="1">
      <c r="B825" s="214"/>
    </row>
    <row r="826" ht="15.75" customHeight="1">
      <c r="B826" s="214"/>
    </row>
    <row r="827" ht="15.75" customHeight="1">
      <c r="B827" s="214"/>
    </row>
    <row r="828" ht="15.75" customHeight="1">
      <c r="B828" s="214"/>
    </row>
    <row r="829" ht="15.75" customHeight="1">
      <c r="B829" s="214"/>
    </row>
    <row r="830" ht="15.75" customHeight="1">
      <c r="B830" s="214"/>
    </row>
    <row r="831" ht="15.75" customHeight="1">
      <c r="B831" s="214"/>
    </row>
    <row r="832" ht="15.75" customHeight="1">
      <c r="B832" s="214"/>
    </row>
    <row r="833" ht="15.75" customHeight="1">
      <c r="B833" s="214"/>
    </row>
    <row r="834" ht="15.75" customHeight="1">
      <c r="B834" s="214"/>
    </row>
    <row r="835" ht="15.75" customHeight="1">
      <c r="B835" s="214"/>
    </row>
    <row r="836" ht="15.75" customHeight="1">
      <c r="B836" s="214"/>
    </row>
    <row r="837" ht="15.75" customHeight="1">
      <c r="B837" s="214"/>
    </row>
    <row r="838" ht="15.75" customHeight="1">
      <c r="B838" s="214"/>
    </row>
    <row r="839" ht="15.75" customHeight="1">
      <c r="B839" s="214"/>
    </row>
    <row r="840" ht="15.75" customHeight="1">
      <c r="B840" s="214"/>
    </row>
    <row r="841" ht="15.75" customHeight="1">
      <c r="B841" s="214"/>
    </row>
    <row r="842" ht="15.75" customHeight="1">
      <c r="B842" s="214"/>
    </row>
    <row r="843" ht="15.75" customHeight="1">
      <c r="B843" s="214"/>
    </row>
    <row r="844" ht="15.75" customHeight="1">
      <c r="B844" s="214"/>
    </row>
    <row r="845" ht="15.75" customHeight="1">
      <c r="B845" s="214"/>
    </row>
    <row r="846" ht="15.75" customHeight="1">
      <c r="B846" s="214"/>
    </row>
    <row r="847" ht="15.75" customHeight="1">
      <c r="B847" s="214"/>
    </row>
    <row r="848" ht="15.75" customHeight="1">
      <c r="B848" s="214"/>
    </row>
    <row r="849" ht="15.75" customHeight="1">
      <c r="B849" s="214"/>
    </row>
    <row r="850" ht="15.75" customHeight="1">
      <c r="B850" s="214"/>
    </row>
    <row r="851" ht="15.75" customHeight="1">
      <c r="B851" s="214"/>
    </row>
    <row r="852" ht="15.75" customHeight="1">
      <c r="B852" s="214"/>
    </row>
    <row r="853" ht="15.75" customHeight="1">
      <c r="B853" s="214"/>
    </row>
    <row r="854" ht="15.75" customHeight="1">
      <c r="B854" s="214"/>
    </row>
    <row r="855" ht="15.75" customHeight="1">
      <c r="B855" s="214"/>
    </row>
    <row r="856" ht="15.75" customHeight="1">
      <c r="B856" s="214"/>
    </row>
    <row r="857" ht="15.75" customHeight="1">
      <c r="B857" s="214"/>
    </row>
    <row r="858" ht="15.75" customHeight="1">
      <c r="B858" s="214"/>
    </row>
    <row r="859" ht="15.75" customHeight="1">
      <c r="B859" s="214"/>
    </row>
    <row r="860" ht="15.75" customHeight="1">
      <c r="B860" s="214"/>
    </row>
    <row r="861" ht="15.75" customHeight="1">
      <c r="B861" s="214"/>
    </row>
    <row r="862" ht="15.75" customHeight="1">
      <c r="B862" s="214"/>
    </row>
    <row r="863" ht="15.75" customHeight="1">
      <c r="B863" s="214"/>
    </row>
    <row r="864" ht="15.75" customHeight="1">
      <c r="B864" s="214"/>
    </row>
    <row r="865" ht="15.75" customHeight="1">
      <c r="B865" s="214"/>
    </row>
    <row r="866" ht="15.75" customHeight="1">
      <c r="B866" s="214"/>
    </row>
    <row r="867" ht="15.75" customHeight="1">
      <c r="B867" s="214"/>
    </row>
    <row r="868" ht="15.75" customHeight="1">
      <c r="B868" s="214"/>
    </row>
    <row r="869" ht="15.75" customHeight="1">
      <c r="B869" s="214"/>
    </row>
    <row r="870" ht="15.75" customHeight="1">
      <c r="B870" s="214"/>
    </row>
    <row r="871" ht="15.75" customHeight="1">
      <c r="B871" s="214"/>
    </row>
    <row r="872" ht="15.75" customHeight="1">
      <c r="B872" s="214"/>
    </row>
    <row r="873" ht="15.75" customHeight="1">
      <c r="B873" s="214"/>
    </row>
    <row r="874" ht="15.75" customHeight="1">
      <c r="B874" s="214"/>
    </row>
    <row r="875" ht="15.75" customHeight="1">
      <c r="B875" s="214"/>
    </row>
    <row r="876" ht="15.75" customHeight="1">
      <c r="B876" s="214"/>
    </row>
    <row r="877" ht="15.75" customHeight="1">
      <c r="B877" s="214"/>
    </row>
    <row r="878" ht="15.75" customHeight="1">
      <c r="B878" s="214"/>
    </row>
    <row r="879" ht="15.75" customHeight="1">
      <c r="B879" s="214"/>
    </row>
    <row r="880" ht="15.75" customHeight="1">
      <c r="B880" s="214"/>
    </row>
    <row r="881" ht="15.75" customHeight="1">
      <c r="B881" s="214"/>
    </row>
    <row r="882" ht="15.75" customHeight="1">
      <c r="B882" s="214"/>
    </row>
    <row r="883" ht="15.75" customHeight="1">
      <c r="B883" s="214"/>
    </row>
    <row r="884" ht="15.75" customHeight="1">
      <c r="B884" s="214"/>
    </row>
    <row r="885" ht="15.75" customHeight="1">
      <c r="B885" s="214"/>
    </row>
    <row r="886" ht="15.75" customHeight="1">
      <c r="B886" s="214"/>
    </row>
    <row r="887" ht="15.75" customHeight="1">
      <c r="B887" s="214"/>
    </row>
    <row r="888" ht="15.75" customHeight="1">
      <c r="B888" s="214"/>
    </row>
    <row r="889" ht="15.75" customHeight="1">
      <c r="B889" s="214"/>
    </row>
    <row r="890" ht="15.75" customHeight="1">
      <c r="B890" s="214"/>
    </row>
    <row r="891" ht="15.75" customHeight="1">
      <c r="B891" s="214"/>
    </row>
    <row r="892" ht="15.75" customHeight="1">
      <c r="B892" s="214"/>
    </row>
    <row r="893" ht="15.75" customHeight="1">
      <c r="B893" s="214"/>
    </row>
    <row r="894" ht="15.75" customHeight="1">
      <c r="B894" s="214"/>
    </row>
    <row r="895" ht="15.75" customHeight="1">
      <c r="B895" s="214"/>
    </row>
    <row r="896" ht="15.75" customHeight="1">
      <c r="B896" s="214"/>
    </row>
    <row r="897" ht="15.75" customHeight="1">
      <c r="B897" s="214"/>
    </row>
    <row r="898" ht="15.75" customHeight="1">
      <c r="B898" s="214"/>
    </row>
    <row r="899" ht="15.75" customHeight="1">
      <c r="B899" s="214"/>
    </row>
    <row r="900" ht="15.75" customHeight="1">
      <c r="B900" s="214"/>
    </row>
    <row r="901" ht="15.75" customHeight="1">
      <c r="B901" s="214"/>
    </row>
    <row r="902" ht="15.75" customHeight="1">
      <c r="B902" s="214"/>
    </row>
    <row r="903" ht="15.75" customHeight="1">
      <c r="B903" s="214"/>
    </row>
    <row r="904" ht="15.75" customHeight="1">
      <c r="B904" s="214"/>
    </row>
    <row r="905" ht="15.75" customHeight="1">
      <c r="B905" s="214"/>
    </row>
    <row r="906" ht="15.75" customHeight="1">
      <c r="B906" s="214"/>
    </row>
    <row r="907" ht="15.75" customHeight="1">
      <c r="B907" s="214"/>
    </row>
    <row r="908" ht="15.75" customHeight="1">
      <c r="B908" s="214"/>
    </row>
    <row r="909" ht="15.75" customHeight="1">
      <c r="B909" s="214"/>
    </row>
    <row r="910" ht="15.75" customHeight="1">
      <c r="B910" s="214"/>
    </row>
    <row r="911" ht="15.75" customHeight="1">
      <c r="B911" s="214"/>
    </row>
    <row r="912" ht="15.75" customHeight="1">
      <c r="B912" s="214"/>
    </row>
    <row r="913" ht="15.75" customHeight="1">
      <c r="B913" s="214"/>
    </row>
    <row r="914" ht="15.75" customHeight="1">
      <c r="B914" s="214"/>
    </row>
    <row r="915" ht="15.75" customHeight="1">
      <c r="B915" s="214"/>
    </row>
    <row r="916" ht="15.75" customHeight="1">
      <c r="B916" s="214"/>
    </row>
    <row r="917" ht="15.75" customHeight="1">
      <c r="B917" s="214"/>
    </row>
    <row r="918" ht="15.75" customHeight="1">
      <c r="B918" s="214"/>
    </row>
    <row r="919" ht="15.75" customHeight="1">
      <c r="B919" s="214"/>
    </row>
    <row r="920" ht="15.75" customHeight="1">
      <c r="B920" s="214"/>
    </row>
    <row r="921" ht="15.75" customHeight="1">
      <c r="B921" s="214"/>
    </row>
    <row r="922" ht="15.75" customHeight="1">
      <c r="B922" s="214"/>
    </row>
    <row r="923" ht="15.75" customHeight="1">
      <c r="B923" s="214"/>
    </row>
    <row r="924" ht="15.75" customHeight="1">
      <c r="B924" s="214"/>
    </row>
    <row r="925" ht="15.75" customHeight="1">
      <c r="B925" s="214"/>
    </row>
    <row r="926" ht="15.75" customHeight="1">
      <c r="B926" s="214"/>
    </row>
    <row r="927" ht="15.75" customHeight="1">
      <c r="B927" s="214"/>
    </row>
    <row r="928" ht="15.75" customHeight="1">
      <c r="B928" s="214"/>
    </row>
    <row r="929" ht="15.75" customHeight="1">
      <c r="B929" s="214"/>
    </row>
    <row r="930" ht="15.75" customHeight="1">
      <c r="B930" s="214"/>
    </row>
    <row r="931" ht="15.75" customHeight="1">
      <c r="B931" s="214"/>
    </row>
    <row r="932" ht="15.75" customHeight="1">
      <c r="B932" s="214"/>
    </row>
    <row r="933" ht="15.75" customHeight="1">
      <c r="B933" s="214"/>
    </row>
    <row r="934" ht="15.75" customHeight="1">
      <c r="B934" s="214"/>
    </row>
    <row r="935" ht="15.75" customHeight="1">
      <c r="B935" s="214"/>
    </row>
    <row r="936" ht="15.75" customHeight="1">
      <c r="B936" s="214"/>
    </row>
    <row r="937" ht="15.75" customHeight="1">
      <c r="B937" s="214"/>
    </row>
    <row r="938" ht="15.75" customHeight="1">
      <c r="B938" s="214"/>
    </row>
    <row r="939" ht="15.75" customHeight="1">
      <c r="B939" s="214"/>
    </row>
    <row r="940" ht="15.75" customHeight="1">
      <c r="B940" s="214"/>
    </row>
    <row r="941" ht="15.75" customHeight="1">
      <c r="B941" s="214"/>
    </row>
    <row r="942" ht="15.75" customHeight="1">
      <c r="B942" s="214"/>
    </row>
    <row r="943" ht="15.75" customHeight="1">
      <c r="B943" s="214"/>
    </row>
    <row r="944" ht="15.75" customHeight="1">
      <c r="B944" s="214"/>
    </row>
    <row r="945" ht="15.75" customHeight="1">
      <c r="B945" s="214"/>
    </row>
    <row r="946" ht="15.75" customHeight="1">
      <c r="B946" s="214"/>
    </row>
    <row r="947" ht="15.75" customHeight="1">
      <c r="B947" s="214"/>
    </row>
    <row r="948" ht="15.75" customHeight="1">
      <c r="B948" s="214"/>
    </row>
    <row r="949" ht="15.75" customHeight="1">
      <c r="B949" s="214"/>
    </row>
    <row r="950" ht="15.75" customHeight="1">
      <c r="B950" s="214"/>
    </row>
    <row r="951" ht="15.75" customHeight="1">
      <c r="B951" s="214"/>
    </row>
    <row r="952" ht="15.75" customHeight="1">
      <c r="B952" s="214"/>
    </row>
    <row r="953" ht="15.75" customHeight="1">
      <c r="B953" s="214"/>
    </row>
    <row r="954" ht="15.75" customHeight="1">
      <c r="B954" s="214"/>
    </row>
    <row r="955" ht="15.75" customHeight="1">
      <c r="B955" s="214"/>
    </row>
    <row r="956" ht="15.75" customHeight="1">
      <c r="B956" s="214"/>
    </row>
    <row r="957" ht="15.75" customHeight="1">
      <c r="B957" s="214"/>
    </row>
    <row r="958" ht="15.75" customHeight="1">
      <c r="B958" s="214"/>
    </row>
    <row r="959" ht="15.75" customHeight="1">
      <c r="B959" s="214"/>
    </row>
    <row r="960" ht="15.75" customHeight="1">
      <c r="B960" s="214"/>
    </row>
    <row r="961" ht="15.75" customHeight="1">
      <c r="B961" s="214"/>
    </row>
    <row r="962" ht="15.75" customHeight="1">
      <c r="B962" s="214"/>
    </row>
    <row r="963" ht="15.75" customHeight="1">
      <c r="B963" s="214"/>
    </row>
    <row r="964" ht="15.75" customHeight="1">
      <c r="B964" s="214"/>
    </row>
    <row r="965" ht="15.75" customHeight="1">
      <c r="B965" s="214"/>
    </row>
    <row r="966" ht="15.75" customHeight="1">
      <c r="B966" s="214"/>
    </row>
    <row r="967" ht="15.75" customHeight="1">
      <c r="B967" s="214"/>
    </row>
    <row r="968" ht="15.75" customHeight="1">
      <c r="B968" s="214"/>
    </row>
    <row r="969" ht="15.75" customHeight="1">
      <c r="B969" s="214"/>
    </row>
    <row r="970" ht="15.75" customHeight="1">
      <c r="B970" s="214"/>
    </row>
    <row r="971" ht="15.75" customHeight="1">
      <c r="B971" s="214"/>
    </row>
    <row r="972" ht="15.75" customHeight="1">
      <c r="B972" s="214"/>
    </row>
    <row r="973" ht="15.75" customHeight="1">
      <c r="B973" s="214"/>
    </row>
    <row r="974" ht="15.75" customHeight="1">
      <c r="B974" s="214"/>
    </row>
    <row r="975" ht="15.75" customHeight="1">
      <c r="B975" s="214"/>
    </row>
    <row r="976" ht="15.75" customHeight="1">
      <c r="B976" s="214"/>
    </row>
    <row r="977" ht="15.75" customHeight="1">
      <c r="B977" s="214"/>
    </row>
    <row r="978" ht="15.75" customHeight="1">
      <c r="B978" s="214"/>
    </row>
    <row r="979" ht="15.75" customHeight="1">
      <c r="B979" s="214"/>
    </row>
    <row r="980" ht="15.75" customHeight="1">
      <c r="B980" s="214"/>
    </row>
    <row r="981" ht="15.75" customHeight="1">
      <c r="B981" s="214"/>
    </row>
    <row r="982" ht="15.75" customHeight="1">
      <c r="B982" s="214"/>
    </row>
    <row r="983" ht="15.75" customHeight="1">
      <c r="B983" s="214"/>
    </row>
    <row r="984" ht="15.75" customHeight="1">
      <c r="B984" s="214"/>
    </row>
    <row r="985" ht="15.75" customHeight="1">
      <c r="B985" s="214"/>
    </row>
    <row r="986" ht="15.75" customHeight="1">
      <c r="B986" s="214"/>
    </row>
    <row r="987" ht="15.75" customHeight="1">
      <c r="B987" s="214"/>
    </row>
    <row r="988" ht="15.75" customHeight="1">
      <c r="B988" s="214"/>
    </row>
    <row r="989" ht="15.75" customHeight="1">
      <c r="B989" s="214"/>
    </row>
    <row r="990" ht="15.75" customHeight="1">
      <c r="B990" s="214"/>
    </row>
    <row r="991" ht="15.75" customHeight="1">
      <c r="B991" s="214"/>
    </row>
    <row r="992">
      <c r="B992" s="214"/>
    </row>
    <row r="993">
      <c r="B993" s="214"/>
    </row>
    <row r="994">
      <c r="B994" s="214"/>
    </row>
    <row r="995">
      <c r="B995" s="214"/>
    </row>
    <row r="996">
      <c r="B996" s="214"/>
    </row>
    <row r="997">
      <c r="B997" s="214"/>
    </row>
    <row r="998">
      <c r="B998" s="214"/>
    </row>
    <row r="999">
      <c r="B999" s="214"/>
    </row>
    <row r="1000">
      <c r="B1000" s="214"/>
    </row>
  </sheetData>
  <mergeCells count="19">
    <mergeCell ref="O3:T3"/>
    <mergeCell ref="A4:I4"/>
    <mergeCell ref="O4:T4"/>
    <mergeCell ref="A14:I14"/>
    <mergeCell ref="O14:T14"/>
    <mergeCell ref="A23:I23"/>
    <mergeCell ref="O23:T23"/>
    <mergeCell ref="A68:I68"/>
    <mergeCell ref="A79:I79"/>
    <mergeCell ref="O79:T79"/>
    <mergeCell ref="A100:I100"/>
    <mergeCell ref="O100:T100"/>
    <mergeCell ref="A34:I34"/>
    <mergeCell ref="O34:T34"/>
    <mergeCell ref="A45:I45"/>
    <mergeCell ref="O45:T45"/>
    <mergeCell ref="A59:I59"/>
    <mergeCell ref="O59:T59"/>
    <mergeCell ref="O68:T68"/>
  </mergeCells>
  <printOptions/>
  <pageMargins bottom="0.787401575" footer="0.0" header="0.0" left="0.511811024" right="0.511811024" top="0.787401575"/>
  <pageSetup orientation="landscape"/>
  <drawing r:id="rId1"/>
  <tableParts count="21"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1.22" defaultRowHeight="15.0"/>
  <cols>
    <col customWidth="1" min="3" max="3" width="18.67"/>
    <col customWidth="1" min="4" max="4" width="32.11"/>
  </cols>
  <sheetData>
    <row r="1" ht="15.75" customHeight="1">
      <c r="A1" s="7" t="s">
        <v>2</v>
      </c>
      <c r="B1" s="8"/>
      <c r="C1" s="8"/>
      <c r="D1" s="8"/>
      <c r="E1" s="8"/>
      <c r="F1" s="8"/>
      <c r="G1" s="8"/>
      <c r="M1" s="9"/>
      <c r="N1" s="9"/>
      <c r="O1" s="9"/>
      <c r="R1" s="9"/>
      <c r="S1" s="9"/>
      <c r="T1" s="9"/>
    </row>
    <row r="2" ht="15.75" customHeight="1">
      <c r="A2" s="10" t="s">
        <v>3</v>
      </c>
      <c r="B2" s="10" t="s">
        <v>4</v>
      </c>
      <c r="C2" s="10" t="s">
        <v>5</v>
      </c>
      <c r="D2" s="10" t="s">
        <v>6</v>
      </c>
      <c r="E2" s="11" t="s">
        <v>7</v>
      </c>
      <c r="F2" s="2"/>
      <c r="G2" s="2"/>
      <c r="L2" s="9"/>
      <c r="M2" s="9"/>
      <c r="N2" s="9"/>
      <c r="O2" s="12"/>
      <c r="Q2" s="9"/>
      <c r="R2" s="9"/>
      <c r="S2" s="9"/>
      <c r="T2" s="12"/>
    </row>
    <row r="3" ht="15.75" customHeight="1">
      <c r="A3" s="13"/>
      <c r="B3" s="13"/>
      <c r="C3" s="13"/>
      <c r="D3" s="13"/>
      <c r="E3" s="14" t="s">
        <v>12</v>
      </c>
      <c r="F3" s="14" t="s">
        <v>13</v>
      </c>
      <c r="G3" s="15" t="s">
        <v>14</v>
      </c>
      <c r="L3" s="16"/>
      <c r="M3" s="17"/>
      <c r="N3" s="17"/>
      <c r="O3" s="18"/>
      <c r="Q3" s="19"/>
      <c r="R3" s="20"/>
      <c r="S3" s="20"/>
      <c r="T3" s="22"/>
    </row>
    <row r="4" ht="15.75" customHeight="1">
      <c r="A4" s="14" t="str">
        <f>QDL!B3</f>
        <v>L0</v>
      </c>
      <c r="B4" s="25" t="s">
        <v>19</v>
      </c>
      <c r="C4" s="27">
        <f>QDL!D199</f>
        <v>10</v>
      </c>
      <c r="D4" s="14">
        <v>5.0</v>
      </c>
      <c r="E4" s="14">
        <f>'BALANÇO TOTAL'!E3</f>
        <v>1350</v>
      </c>
      <c r="F4" s="14" t="str">
        <f>'BALANÇO TOTAL'!F3</f>
        <v>-</v>
      </c>
      <c r="G4" s="14" t="str">
        <f>'BALANÇO TOTAL'!G3</f>
        <v>-</v>
      </c>
      <c r="L4" s="16"/>
      <c r="M4" s="17"/>
      <c r="N4" s="17"/>
      <c r="O4" s="17"/>
      <c r="Q4" s="16"/>
      <c r="R4" s="17"/>
      <c r="S4" s="17"/>
      <c r="T4" s="17"/>
    </row>
    <row r="5" ht="15.75" customHeight="1">
      <c r="L5" s="19"/>
      <c r="M5" s="20"/>
      <c r="N5" s="20"/>
      <c r="O5" s="20"/>
      <c r="Q5" s="19"/>
      <c r="R5" s="20"/>
      <c r="S5" s="20"/>
      <c r="T5" s="20"/>
    </row>
    <row r="6" ht="15.75" customHeight="1">
      <c r="A6" s="37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ht="15.75" customHeight="1">
      <c r="A7" s="7" t="s">
        <v>42</v>
      </c>
      <c r="B7" s="8"/>
      <c r="C7" s="8"/>
      <c r="D7" s="8"/>
      <c r="E7" s="8"/>
      <c r="F7" s="8"/>
      <c r="G7" s="8"/>
      <c r="L7" s="50"/>
      <c r="M7" s="9"/>
      <c r="N7" s="9"/>
      <c r="O7" s="9"/>
      <c r="Q7" s="50"/>
      <c r="R7" s="9"/>
      <c r="S7" s="9"/>
      <c r="T7" s="9"/>
    </row>
    <row r="8" ht="15.75" customHeight="1">
      <c r="A8" s="10" t="s">
        <v>3</v>
      </c>
      <c r="B8" s="10" t="s">
        <v>4</v>
      </c>
      <c r="C8" s="10" t="s">
        <v>5</v>
      </c>
      <c r="D8" s="10" t="s">
        <v>6</v>
      </c>
      <c r="E8" s="11" t="s">
        <v>7</v>
      </c>
      <c r="F8" s="2"/>
      <c r="G8" s="2"/>
      <c r="L8" s="9"/>
      <c r="M8" s="9"/>
      <c r="N8" s="9"/>
      <c r="O8" s="12"/>
      <c r="Q8" s="9"/>
      <c r="R8" s="9"/>
      <c r="S8" s="9"/>
      <c r="T8" s="12"/>
    </row>
    <row r="9" ht="15.75" customHeight="1">
      <c r="A9" s="13"/>
      <c r="B9" s="13"/>
      <c r="C9" s="13"/>
      <c r="D9" s="13"/>
      <c r="E9" s="14" t="s">
        <v>12</v>
      </c>
      <c r="F9" s="14" t="s">
        <v>13</v>
      </c>
      <c r="G9" s="15" t="s">
        <v>14</v>
      </c>
      <c r="L9" s="55"/>
      <c r="M9" s="17"/>
      <c r="N9" s="17"/>
      <c r="O9" s="17"/>
      <c r="Q9" s="56"/>
      <c r="R9" s="20"/>
      <c r="S9" s="20"/>
      <c r="T9" s="22"/>
    </row>
    <row r="10" ht="15.75" customHeight="1">
      <c r="A10" s="14" t="str">
        <f>QDL!B4</f>
        <v>L1</v>
      </c>
      <c r="B10" s="25" t="s">
        <v>19</v>
      </c>
      <c r="C10" s="27">
        <f>QDL!D200</f>
        <v>10</v>
      </c>
      <c r="D10" s="14">
        <v>5.0</v>
      </c>
      <c r="E10" s="14" t="str">
        <f>'BALANÇO TOTAL'!E4</f>
        <v>-</v>
      </c>
      <c r="F10" s="14">
        <f>'BALANÇO TOTAL'!F4</f>
        <v>1160</v>
      </c>
      <c r="G10" s="14" t="str">
        <f>'BALANÇO TOTAL'!G4</f>
        <v>-</v>
      </c>
      <c r="L10" s="61"/>
      <c r="M10" s="17"/>
      <c r="N10" s="17"/>
      <c r="O10" s="17"/>
      <c r="Q10" s="61"/>
      <c r="R10" s="17"/>
      <c r="S10" s="17"/>
      <c r="T10" s="17"/>
    </row>
    <row r="11" ht="15.75" customHeight="1">
      <c r="L11" s="63"/>
      <c r="M11" s="20"/>
      <c r="N11" s="20"/>
      <c r="O11" s="20"/>
      <c r="Q11" s="63"/>
      <c r="R11" s="20"/>
      <c r="S11" s="20"/>
      <c r="T11" s="20"/>
    </row>
    <row r="12" ht="15.75" customHeight="1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ht="15.75" customHeight="1">
      <c r="A13" s="7" t="s">
        <v>69</v>
      </c>
      <c r="B13" s="8"/>
      <c r="C13" s="8"/>
      <c r="D13" s="8"/>
      <c r="E13" s="8"/>
      <c r="F13" s="8"/>
      <c r="G13" s="8"/>
      <c r="H13" s="70"/>
      <c r="I13" s="70"/>
      <c r="J13" s="70"/>
      <c r="L13" s="71"/>
      <c r="M13" s="11"/>
      <c r="N13" s="2"/>
      <c r="O13" s="2"/>
      <c r="Q13" s="71"/>
      <c r="R13" s="11"/>
      <c r="S13" s="2"/>
      <c r="T13" s="2"/>
    </row>
    <row r="14" ht="15.75" customHeight="1">
      <c r="A14" s="10" t="s">
        <v>3</v>
      </c>
      <c r="B14" s="10" t="s">
        <v>4</v>
      </c>
      <c r="C14" s="10" t="s">
        <v>5</v>
      </c>
      <c r="D14" s="10" t="s">
        <v>6</v>
      </c>
      <c r="E14" s="11" t="s">
        <v>7</v>
      </c>
      <c r="F14" s="2"/>
      <c r="G14" s="2"/>
      <c r="H14" s="70"/>
      <c r="I14" s="70"/>
      <c r="J14" s="70"/>
      <c r="L14" s="9"/>
      <c r="M14" s="72"/>
      <c r="N14" s="72"/>
      <c r="O14" s="73"/>
      <c r="Q14" s="9"/>
      <c r="R14" s="72"/>
      <c r="S14" s="72"/>
      <c r="T14" s="73"/>
    </row>
    <row r="15" ht="15.75" customHeight="1">
      <c r="A15" s="13"/>
      <c r="B15" s="13"/>
      <c r="C15" s="13"/>
      <c r="D15" s="13"/>
      <c r="E15" s="14" t="s">
        <v>12</v>
      </c>
      <c r="F15" s="14" t="s">
        <v>13</v>
      </c>
      <c r="G15" s="15" t="s">
        <v>14</v>
      </c>
      <c r="H15" s="70"/>
      <c r="I15" s="70"/>
      <c r="J15" s="70"/>
      <c r="L15" s="55"/>
      <c r="M15" s="61"/>
      <c r="N15" s="61"/>
      <c r="O15" s="61"/>
      <c r="Q15" s="56"/>
      <c r="R15" s="14"/>
      <c r="S15" s="14"/>
      <c r="T15" s="27"/>
    </row>
    <row r="16" ht="15.75" customHeight="1">
      <c r="A16" s="14" t="str">
        <f>QDL!B5</f>
        <v>L2</v>
      </c>
      <c r="B16" s="25" t="s">
        <v>19</v>
      </c>
      <c r="C16" s="27">
        <f>QDL!D201</f>
        <v>10</v>
      </c>
      <c r="D16" s="14">
        <v>5.0</v>
      </c>
      <c r="E16" s="14" t="str">
        <f>'BALANÇO TOTAL'!E5</f>
        <v>-</v>
      </c>
      <c r="F16" s="14" t="str">
        <f>'BALANÇO TOTAL'!F5</f>
        <v>-</v>
      </c>
      <c r="G16" s="14">
        <f>'BALANÇO TOTAL'!G5</f>
        <v>1740</v>
      </c>
      <c r="H16" s="70"/>
      <c r="I16" s="70"/>
      <c r="J16" s="70"/>
      <c r="L16" s="16"/>
      <c r="M16" s="61"/>
      <c r="N16" s="61"/>
      <c r="O16" s="61"/>
      <c r="Q16" s="16"/>
      <c r="R16" s="61"/>
      <c r="S16" s="61"/>
      <c r="T16" s="61"/>
    </row>
    <row r="17" ht="15.75" customHeight="1">
      <c r="A17" s="70"/>
      <c r="B17" s="78"/>
      <c r="C17" s="70"/>
      <c r="D17" s="70"/>
      <c r="E17" s="70"/>
      <c r="F17" s="70"/>
      <c r="G17" s="70"/>
      <c r="H17" s="70"/>
      <c r="I17" s="70"/>
      <c r="J17" s="70"/>
      <c r="L17" s="19"/>
      <c r="M17" s="63"/>
      <c r="N17" s="63"/>
      <c r="O17" s="63"/>
      <c r="Q17" s="19"/>
      <c r="R17" s="63"/>
      <c r="S17" s="63"/>
      <c r="T17" s="63"/>
    </row>
    <row r="18" ht="15.75" customHeight="1">
      <c r="A18" s="37"/>
      <c r="B18" s="37"/>
      <c r="C18" s="37"/>
      <c r="D18" s="37"/>
      <c r="E18" s="37"/>
      <c r="F18" s="37"/>
      <c r="G18" s="37"/>
      <c r="H18" s="70"/>
      <c r="I18" s="70"/>
      <c r="J18" s="70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15.75" customHeight="1">
      <c r="A19" s="7" t="s">
        <v>78</v>
      </c>
      <c r="B19" s="8"/>
      <c r="C19" s="8"/>
      <c r="D19" s="8"/>
      <c r="E19" s="8"/>
      <c r="F19" s="8"/>
      <c r="G19" s="8"/>
      <c r="H19" s="70"/>
      <c r="I19" s="70"/>
      <c r="J19" s="70"/>
      <c r="L19" s="71"/>
      <c r="M19" s="11"/>
      <c r="N19" s="2"/>
      <c r="O19" s="2"/>
      <c r="Q19" s="71"/>
      <c r="R19" s="11"/>
      <c r="S19" s="2"/>
      <c r="T19" s="2"/>
    </row>
    <row r="20" ht="15.75" customHeight="1">
      <c r="A20" s="10" t="s">
        <v>3</v>
      </c>
      <c r="B20" s="10" t="s">
        <v>4</v>
      </c>
      <c r="C20" s="10" t="s">
        <v>5</v>
      </c>
      <c r="D20" s="10" t="s">
        <v>6</v>
      </c>
      <c r="E20" s="11" t="s">
        <v>7</v>
      </c>
      <c r="F20" s="2"/>
      <c r="G20" s="2"/>
      <c r="H20" s="70"/>
      <c r="I20" s="70"/>
      <c r="J20" s="70"/>
      <c r="L20" s="9"/>
      <c r="M20" s="72"/>
      <c r="N20" s="72"/>
      <c r="O20" s="73"/>
      <c r="Q20" s="9"/>
      <c r="R20" s="72"/>
      <c r="S20" s="72"/>
      <c r="T20" s="73"/>
    </row>
    <row r="21" ht="15.75" customHeight="1">
      <c r="A21" s="13"/>
      <c r="B21" s="13"/>
      <c r="C21" s="13"/>
      <c r="D21" s="13"/>
      <c r="E21" s="14" t="s">
        <v>12</v>
      </c>
      <c r="F21" s="14" t="s">
        <v>13</v>
      </c>
      <c r="G21" s="15" t="s">
        <v>14</v>
      </c>
      <c r="H21" s="70"/>
      <c r="I21" s="70"/>
      <c r="J21" s="70"/>
      <c r="L21" s="55"/>
      <c r="M21" s="70"/>
      <c r="N21" s="70"/>
      <c r="O21" s="70"/>
      <c r="Q21" s="56"/>
      <c r="R21" s="14"/>
      <c r="S21" s="14"/>
      <c r="T21" s="15"/>
    </row>
    <row r="22" ht="15.75" customHeight="1">
      <c r="A22" s="14" t="str">
        <f>QDL!B6</f>
        <v>L3</v>
      </c>
      <c r="B22" s="25" t="s">
        <v>19</v>
      </c>
      <c r="C22" s="27">
        <f>QDL!D202</f>
        <v>10</v>
      </c>
      <c r="D22" s="14">
        <v>5.0</v>
      </c>
      <c r="E22" s="14" t="str">
        <f>'BALANÇO TOTAL'!E6</f>
        <v>-</v>
      </c>
      <c r="F22" s="14">
        <f>'BALANÇO TOTAL'!F6</f>
        <v>1740</v>
      </c>
      <c r="G22" s="14" t="str">
        <f>'BALANÇO TOTAL'!G6</f>
        <v>-</v>
      </c>
      <c r="H22" s="70"/>
      <c r="I22" s="70"/>
      <c r="J22" s="70"/>
      <c r="L22" s="61"/>
      <c r="M22" s="70"/>
      <c r="N22" s="70"/>
      <c r="O22" s="70"/>
      <c r="Q22" s="61"/>
      <c r="R22" s="70"/>
      <c r="S22" s="70"/>
      <c r="T22" s="70"/>
    </row>
    <row r="23" ht="15.75" customHeight="1">
      <c r="A23" s="70"/>
      <c r="B23" s="78"/>
      <c r="C23" s="70"/>
      <c r="D23" s="70"/>
      <c r="E23" s="70"/>
      <c r="F23" s="70"/>
      <c r="G23" s="70"/>
      <c r="H23" s="70"/>
      <c r="I23" s="70"/>
      <c r="J23" s="70"/>
      <c r="L23" s="63"/>
      <c r="M23" s="14"/>
      <c r="N23" s="14"/>
      <c r="O23" s="14"/>
      <c r="Q23" s="63"/>
      <c r="R23" s="14"/>
      <c r="S23" s="14"/>
      <c r="T23" s="14"/>
    </row>
    <row r="24" ht="15.75" customHeight="1">
      <c r="A24" s="37"/>
      <c r="B24" s="37"/>
      <c r="C24" s="37"/>
      <c r="D24" s="37"/>
      <c r="E24" s="37"/>
      <c r="F24" s="37"/>
      <c r="G24" s="37"/>
      <c r="H24" s="70"/>
      <c r="I24" s="70"/>
      <c r="J24" s="70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15.75" customHeight="1">
      <c r="A25" s="7" t="s">
        <v>89</v>
      </c>
      <c r="B25" s="8"/>
      <c r="C25" s="8"/>
      <c r="D25" s="8"/>
      <c r="E25" s="8"/>
      <c r="F25" s="8"/>
      <c r="G25" s="8"/>
      <c r="H25" s="70"/>
      <c r="I25" s="70"/>
      <c r="J25" s="70"/>
      <c r="L25" s="71"/>
      <c r="M25" s="11"/>
      <c r="N25" s="2"/>
      <c r="O25" s="2"/>
      <c r="Q25" s="71"/>
      <c r="R25" s="11"/>
      <c r="S25" s="2"/>
      <c r="T25" s="2"/>
    </row>
    <row r="26" ht="15.75" customHeight="1">
      <c r="A26" s="10" t="s">
        <v>3</v>
      </c>
      <c r="B26" s="10" t="s">
        <v>4</v>
      </c>
      <c r="C26" s="10" t="s">
        <v>5</v>
      </c>
      <c r="D26" s="10" t="s">
        <v>6</v>
      </c>
      <c r="E26" s="11" t="s">
        <v>7</v>
      </c>
      <c r="F26" s="2"/>
      <c r="G26" s="2"/>
      <c r="H26" s="70"/>
      <c r="I26" s="70"/>
      <c r="J26" s="70"/>
      <c r="L26" s="9"/>
      <c r="M26" s="72"/>
      <c r="N26" s="72"/>
      <c r="O26" s="73"/>
      <c r="Q26" s="9"/>
      <c r="R26" s="72"/>
      <c r="S26" s="72"/>
      <c r="T26" s="73"/>
    </row>
    <row r="27" ht="15.75" customHeight="1">
      <c r="A27" s="13"/>
      <c r="B27" s="13"/>
      <c r="C27" s="13"/>
      <c r="D27" s="13"/>
      <c r="E27" s="14" t="s">
        <v>12</v>
      </c>
      <c r="F27" s="14" t="s">
        <v>13</v>
      </c>
      <c r="G27" s="15" t="s">
        <v>14</v>
      </c>
      <c r="H27" s="70"/>
      <c r="I27" s="70"/>
      <c r="J27" s="70"/>
      <c r="L27" s="17"/>
      <c r="M27" s="70"/>
      <c r="N27" s="70"/>
      <c r="O27" s="70"/>
      <c r="Q27" s="17"/>
      <c r="R27" s="70"/>
      <c r="S27" s="70"/>
      <c r="T27" s="70"/>
    </row>
    <row r="28" ht="15.75" customHeight="1">
      <c r="A28" s="70" t="str">
        <f>QDL!B7</f>
        <v>L4</v>
      </c>
      <c r="B28" s="78" t="s">
        <v>97</v>
      </c>
      <c r="C28" s="87">
        <f>QDL!D203</f>
        <v>25</v>
      </c>
      <c r="D28" s="70">
        <v>5.0</v>
      </c>
      <c r="E28" s="14">
        <f>'BALANÇO TOTAL'!E7</f>
        <v>4400</v>
      </c>
      <c r="F28" s="14" t="str">
        <f>'BALANÇO TOTAL'!F7</f>
        <v>-</v>
      </c>
      <c r="G28" s="14" t="str">
        <f>'BALANÇO TOTAL'!G7</f>
        <v>-</v>
      </c>
      <c r="H28" s="70"/>
      <c r="I28" s="70"/>
      <c r="J28" s="70"/>
      <c r="K28" s="90"/>
      <c r="L28" s="70"/>
      <c r="M28" s="70"/>
      <c r="N28" s="70"/>
      <c r="O28" s="70"/>
      <c r="Q28" s="70"/>
      <c r="R28" s="70"/>
      <c r="S28" s="70"/>
      <c r="T28" s="70"/>
    </row>
    <row r="29" ht="15.75" customHeight="1">
      <c r="A29" s="70" t="str">
        <f>QDL!B8</f>
        <v>L5</v>
      </c>
      <c r="B29" s="78" t="s">
        <v>97</v>
      </c>
      <c r="C29" s="87">
        <f>QDL!D204</f>
        <v>25</v>
      </c>
      <c r="D29" s="70">
        <v>5.0</v>
      </c>
      <c r="E29" s="14" t="str">
        <f>'BALANÇO TOTAL'!E8</f>
        <v>-</v>
      </c>
      <c r="F29" s="14" t="str">
        <f>'BALANÇO TOTAL'!F8</f>
        <v>-</v>
      </c>
      <c r="G29" s="14">
        <f>'BALANÇO TOTAL'!G8</f>
        <v>4400</v>
      </c>
      <c r="H29" s="92"/>
      <c r="I29" s="92" t="s">
        <v>104</v>
      </c>
      <c r="J29" s="92"/>
      <c r="K29" s="90"/>
      <c r="L29" s="70"/>
      <c r="M29" s="70"/>
      <c r="N29" s="70"/>
      <c r="O29" s="70"/>
      <c r="Q29" s="70"/>
      <c r="R29" s="70"/>
      <c r="S29" s="70"/>
      <c r="T29" s="70"/>
    </row>
    <row r="30" ht="15.75" customHeight="1">
      <c r="A30" s="70" t="str">
        <f>QDL!B9</f>
        <v>L6</v>
      </c>
      <c r="B30" s="78" t="s">
        <v>97</v>
      </c>
      <c r="C30" s="87">
        <f>QDL!D205</f>
        <v>25</v>
      </c>
      <c r="D30" s="70">
        <v>5.0</v>
      </c>
      <c r="E30" s="14" t="str">
        <f>'BALANÇO TOTAL'!E9</f>
        <v>-</v>
      </c>
      <c r="F30" s="14">
        <f>'BALANÇO TOTAL'!F9</f>
        <v>4400</v>
      </c>
      <c r="G30" s="14" t="str">
        <f>'BALANÇO TOTAL'!G9</f>
        <v>-</v>
      </c>
      <c r="K30" s="90"/>
      <c r="L30" s="70"/>
      <c r="M30" s="70"/>
      <c r="N30" s="70"/>
      <c r="O30" s="70"/>
      <c r="Q30" s="70"/>
      <c r="R30" s="70"/>
      <c r="S30" s="70"/>
      <c r="T30" s="70"/>
    </row>
    <row r="31" ht="15.75" customHeight="1">
      <c r="A31" s="70" t="str">
        <f>QDL!B10</f>
        <v>L7</v>
      </c>
      <c r="B31" s="78" t="s">
        <v>97</v>
      </c>
      <c r="C31" s="87">
        <f>QDL!D206</f>
        <v>25</v>
      </c>
      <c r="D31" s="70">
        <v>5.0</v>
      </c>
      <c r="E31" s="14">
        <f>'BALANÇO TOTAL'!E10</f>
        <v>4400</v>
      </c>
      <c r="F31" s="14" t="str">
        <f>'BALANÇO TOTAL'!F10</f>
        <v>-</v>
      </c>
      <c r="G31" s="14" t="str">
        <f>'BALANÇO TOTAL'!G10</f>
        <v>-</v>
      </c>
      <c r="I31" s="101">
        <f>SUM(E28:G41)</f>
        <v>55680</v>
      </c>
      <c r="K31" s="90"/>
      <c r="L31" s="70"/>
      <c r="M31" s="70"/>
      <c r="N31" s="70"/>
      <c r="O31" s="70"/>
      <c r="Q31" s="70"/>
      <c r="R31" s="70"/>
      <c r="S31" s="70"/>
      <c r="T31" s="70"/>
    </row>
    <row r="32" ht="15.75" customHeight="1">
      <c r="A32" s="70" t="str">
        <f>QDL!B11</f>
        <v>L8</v>
      </c>
      <c r="B32" s="78" t="s">
        <v>97</v>
      </c>
      <c r="C32" s="87">
        <f>QDL!D207</f>
        <v>25</v>
      </c>
      <c r="D32" s="70">
        <v>5.0</v>
      </c>
      <c r="E32" s="14" t="str">
        <f>'BALANÇO TOTAL'!E11</f>
        <v>-</v>
      </c>
      <c r="F32" s="14" t="str">
        <f>'BALANÇO TOTAL'!F11</f>
        <v>-</v>
      </c>
      <c r="G32" s="14">
        <f>'BALANÇO TOTAL'!G11</f>
        <v>4400</v>
      </c>
      <c r="I32" s="101">
        <f>I31/3</f>
        <v>18560</v>
      </c>
      <c r="K32" s="102"/>
      <c r="L32" s="70"/>
      <c r="M32" s="70"/>
      <c r="N32" s="70"/>
      <c r="O32" s="70"/>
      <c r="Q32" s="70"/>
      <c r="R32" s="70"/>
      <c r="S32" s="70"/>
      <c r="T32" s="70"/>
    </row>
    <row r="33" ht="15.75" customHeight="1">
      <c r="A33" s="70" t="str">
        <f>QDL!B12</f>
        <v>L9</v>
      </c>
      <c r="B33" s="78" t="s">
        <v>97</v>
      </c>
      <c r="C33" s="87">
        <f>QDL!D208</f>
        <v>25</v>
      </c>
      <c r="D33" s="70">
        <v>5.0</v>
      </c>
      <c r="E33" s="14" t="str">
        <f>'BALANÇO TOTAL'!E12</f>
        <v>-</v>
      </c>
      <c r="F33" s="14">
        <f>'BALANÇO TOTAL'!F12</f>
        <v>4400</v>
      </c>
      <c r="G33" s="14" t="str">
        <f>'BALANÇO TOTAL'!G12</f>
        <v>-</v>
      </c>
      <c r="K33" s="102"/>
      <c r="L33" s="70"/>
      <c r="M33" s="70"/>
      <c r="N33" s="70"/>
      <c r="O33" s="70"/>
      <c r="Q33" s="70"/>
      <c r="R33" s="70"/>
      <c r="S33" s="70"/>
      <c r="T33" s="70"/>
    </row>
    <row r="34" ht="15.75" customHeight="1">
      <c r="A34" s="70" t="str">
        <f>QDL!B13</f>
        <v>L10</v>
      </c>
      <c r="B34" s="78" t="s">
        <v>97</v>
      </c>
      <c r="C34" s="87">
        <f>QDL!D209</f>
        <v>25</v>
      </c>
      <c r="D34" s="70">
        <v>5.0</v>
      </c>
      <c r="E34" s="14">
        <f>'BALANÇO TOTAL'!E13</f>
        <v>4400</v>
      </c>
      <c r="F34" s="14" t="str">
        <f>'BALANÇO TOTAL'!F13</f>
        <v>-</v>
      </c>
      <c r="G34" s="14" t="str">
        <f>'BALANÇO TOTAL'!G13</f>
        <v>-</v>
      </c>
      <c r="I34" s="106">
        <f>E42/220</f>
        <v>90.54545455</v>
      </c>
      <c r="K34" s="102"/>
      <c r="L34" s="70"/>
      <c r="M34" s="70"/>
      <c r="N34" s="70"/>
      <c r="O34" s="70"/>
      <c r="Q34" s="56"/>
      <c r="R34" s="14"/>
      <c r="S34" s="14"/>
      <c r="T34" s="15"/>
    </row>
    <row r="35" ht="15.75" customHeight="1">
      <c r="A35" s="70" t="str">
        <f>QDL!B14</f>
        <v>L11</v>
      </c>
      <c r="B35" s="78" t="s">
        <v>97</v>
      </c>
      <c r="C35" s="87">
        <f>QDL!D210</f>
        <v>25</v>
      </c>
      <c r="D35" s="70">
        <v>5.0</v>
      </c>
      <c r="E35" s="14" t="str">
        <f>'BALANÇO TOTAL'!E14</f>
        <v>-</v>
      </c>
      <c r="F35" s="14" t="str">
        <f>'BALANÇO TOTAL'!F14</f>
        <v>-</v>
      </c>
      <c r="G35" s="14">
        <f>'BALANÇO TOTAL'!G14</f>
        <v>4400</v>
      </c>
      <c r="K35" s="102"/>
      <c r="L35" s="61"/>
      <c r="M35" s="70"/>
      <c r="N35" s="70"/>
      <c r="O35" s="70"/>
      <c r="Q35" s="108"/>
      <c r="R35" s="109"/>
      <c r="S35" s="109"/>
      <c r="T35" s="109"/>
    </row>
    <row r="36" ht="15.75" customHeight="1">
      <c r="A36" s="70" t="str">
        <f>QDL!B15</f>
        <v>L12</v>
      </c>
      <c r="B36" s="78" t="s">
        <v>97</v>
      </c>
      <c r="C36" s="87">
        <f>QDL!D211</f>
        <v>25</v>
      </c>
      <c r="D36" s="70">
        <v>5.0</v>
      </c>
      <c r="E36" s="14" t="str">
        <f>'BALANÇO TOTAL'!E15</f>
        <v>-</v>
      </c>
      <c r="F36" s="14">
        <f>'BALANÇO TOTAL'!F15</f>
        <v>4400</v>
      </c>
      <c r="G36" s="14" t="str">
        <f>'BALANÇO TOTAL'!G15</f>
        <v>-</v>
      </c>
      <c r="K36" s="102"/>
      <c r="L36" s="61"/>
      <c r="M36" s="70"/>
      <c r="N36" s="70"/>
      <c r="O36" s="70"/>
      <c r="Q36" s="108"/>
      <c r="R36" s="109"/>
      <c r="S36" s="109"/>
      <c r="T36" s="109"/>
    </row>
    <row r="37" ht="15.75" customHeight="1">
      <c r="A37" s="70" t="str">
        <f>QDL!B16</f>
        <v>L13</v>
      </c>
      <c r="B37" s="78" t="s">
        <v>97</v>
      </c>
      <c r="C37" s="87">
        <f>QDL!D212</f>
        <v>25</v>
      </c>
      <c r="D37" s="70">
        <v>5.0</v>
      </c>
      <c r="E37" s="14">
        <f>'BALANÇO TOTAL'!E16</f>
        <v>4400</v>
      </c>
      <c r="F37" s="14" t="str">
        <f>'BALANÇO TOTAL'!F16</f>
        <v>-</v>
      </c>
      <c r="G37" s="14" t="str">
        <f>'BALANÇO TOTAL'!G16</f>
        <v>-</v>
      </c>
      <c r="K37" s="102"/>
      <c r="L37" s="61"/>
      <c r="M37" s="70"/>
      <c r="N37" s="70"/>
      <c r="O37" s="70"/>
      <c r="Q37" s="108"/>
      <c r="R37" s="109"/>
      <c r="S37" s="109"/>
      <c r="T37" s="109"/>
    </row>
    <row r="38" ht="15.75" customHeight="1">
      <c r="A38" s="70" t="str">
        <f>QDL!B17</f>
        <v>L14</v>
      </c>
      <c r="B38" s="78" t="s">
        <v>97</v>
      </c>
      <c r="C38" s="87">
        <f>QDL!D213</f>
        <v>25</v>
      </c>
      <c r="D38" s="70">
        <v>5.0</v>
      </c>
      <c r="E38" s="14" t="str">
        <f>'BALANÇO TOTAL'!E17</f>
        <v>-</v>
      </c>
      <c r="F38" s="14" t="str">
        <f>'BALANÇO TOTAL'!F17</f>
        <v>-</v>
      </c>
      <c r="G38" s="14">
        <f>'BALANÇO TOTAL'!G17</f>
        <v>4400</v>
      </c>
      <c r="K38" s="102"/>
      <c r="L38" s="61"/>
      <c r="M38" s="70"/>
      <c r="N38" s="70"/>
      <c r="O38" s="70"/>
      <c r="Q38" s="108"/>
      <c r="R38" s="109"/>
      <c r="S38" s="109"/>
      <c r="T38" s="109"/>
    </row>
    <row r="39" ht="15.75" customHeight="1">
      <c r="A39" s="70" t="str">
        <f>QDL!B18</f>
        <v>L15</v>
      </c>
      <c r="B39" s="78" t="s">
        <v>118</v>
      </c>
      <c r="C39" s="87">
        <f>QDL!D214</f>
        <v>16</v>
      </c>
      <c r="D39" s="70">
        <v>5.0</v>
      </c>
      <c r="E39" s="14" t="str">
        <f>'BALANÇO TOTAL'!E18</f>
        <v>-</v>
      </c>
      <c r="F39" s="14">
        <f>'BALANÇO TOTAL'!F18</f>
        <v>2640</v>
      </c>
      <c r="G39" s="14" t="str">
        <f>'BALANÇO TOTAL'!G18</f>
        <v>-</v>
      </c>
      <c r="K39" s="102"/>
      <c r="L39" s="61"/>
      <c r="M39" s="70"/>
      <c r="N39" s="70"/>
      <c r="O39" s="70"/>
      <c r="Q39" s="108"/>
      <c r="R39" s="109"/>
      <c r="S39" s="109"/>
      <c r="T39" s="109"/>
    </row>
    <row r="40" ht="15.75" customHeight="1">
      <c r="A40" s="70" t="str">
        <f>QDL!B19</f>
        <v>L16</v>
      </c>
      <c r="B40" s="78" t="s">
        <v>118</v>
      </c>
      <c r="C40" s="87">
        <f>QDL!D215</f>
        <v>16</v>
      </c>
      <c r="D40" s="70">
        <v>5.0</v>
      </c>
      <c r="E40" s="14" t="str">
        <f>'BALANÇO TOTAL'!E19</f>
        <v>-</v>
      </c>
      <c r="F40" s="14">
        <f>'BALANÇO TOTAL'!F19</f>
        <v>2320</v>
      </c>
      <c r="G40" s="14" t="str">
        <f>'BALANÇO TOTAL'!G19</f>
        <v>-</v>
      </c>
      <c r="K40" s="102"/>
      <c r="L40" s="61"/>
      <c r="M40" s="70"/>
      <c r="N40" s="70"/>
      <c r="O40" s="70"/>
      <c r="Q40" s="108"/>
      <c r="R40" s="109"/>
      <c r="S40" s="109"/>
      <c r="T40" s="109"/>
    </row>
    <row r="41" ht="15.75" customHeight="1">
      <c r="A41" s="70" t="str">
        <f>QDL!B20</f>
        <v>L17</v>
      </c>
      <c r="B41" s="110" t="s">
        <v>118</v>
      </c>
      <c r="C41" s="111">
        <f>QDL!D216</f>
        <v>16</v>
      </c>
      <c r="D41" s="20">
        <v>5.0</v>
      </c>
      <c r="E41" s="20">
        <f>'BALANÇO TOTAL'!E20</f>
        <v>2320</v>
      </c>
      <c r="F41" s="20" t="str">
        <f>'BALANÇO TOTAL'!F20</f>
        <v>-</v>
      </c>
      <c r="G41" s="20" t="str">
        <f>'BALANÇO TOTAL'!G20</f>
        <v>-</v>
      </c>
      <c r="K41" s="102"/>
      <c r="L41" s="61"/>
      <c r="M41" s="70"/>
      <c r="N41" s="70"/>
      <c r="O41" s="70"/>
      <c r="Q41" s="61"/>
      <c r="R41" s="70"/>
      <c r="S41" s="70"/>
      <c r="T41" s="70"/>
    </row>
    <row r="42" ht="15.75" customHeight="1">
      <c r="A42" s="70"/>
      <c r="B42" s="110"/>
      <c r="C42" s="17"/>
      <c r="D42" s="17" t="s">
        <v>119</v>
      </c>
      <c r="E42" s="17">
        <f t="shared" ref="E42:G42" si="1">SUM(E28:E41)</f>
        <v>19920</v>
      </c>
      <c r="F42" s="17">
        <f t="shared" si="1"/>
        <v>18160</v>
      </c>
      <c r="G42" s="17">
        <f t="shared" si="1"/>
        <v>17600</v>
      </c>
      <c r="K42" s="113"/>
      <c r="L42" s="61"/>
      <c r="M42" s="70"/>
      <c r="N42" s="70"/>
      <c r="O42" s="70"/>
      <c r="Q42" s="61"/>
      <c r="R42" s="70"/>
      <c r="S42" s="70"/>
      <c r="T42" s="70"/>
    </row>
    <row r="43" ht="15.75" customHeight="1">
      <c r="A43" s="70"/>
      <c r="B43" s="110"/>
      <c r="C43" s="17"/>
      <c r="D43" s="17"/>
      <c r="E43" s="17"/>
      <c r="F43" s="17"/>
      <c r="G43" s="17"/>
      <c r="K43" s="113"/>
      <c r="L43" s="63"/>
      <c r="M43" s="14"/>
      <c r="N43" s="14"/>
      <c r="O43" s="14"/>
      <c r="Q43" s="63"/>
      <c r="R43" s="14"/>
      <c r="S43" s="14"/>
      <c r="T43" s="14"/>
    </row>
    <row r="44" ht="15.75" customHeight="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15.75" customHeight="1">
      <c r="A45" s="7" t="s">
        <v>120</v>
      </c>
      <c r="B45" s="8"/>
      <c r="C45" s="8"/>
      <c r="D45" s="8"/>
      <c r="E45" s="8"/>
      <c r="F45" s="8"/>
      <c r="G45" s="8"/>
      <c r="L45" s="71"/>
      <c r="M45" s="11"/>
      <c r="N45" s="2"/>
      <c r="O45" s="2"/>
      <c r="Q45" s="71"/>
      <c r="R45" s="11"/>
      <c r="S45" s="2"/>
      <c r="T45" s="2"/>
    </row>
    <row r="46" ht="15.75" customHeight="1">
      <c r="A46" s="10" t="s">
        <v>3</v>
      </c>
      <c r="B46" s="10" t="s">
        <v>4</v>
      </c>
      <c r="C46" s="10" t="s">
        <v>5</v>
      </c>
      <c r="D46" s="10" t="s">
        <v>6</v>
      </c>
      <c r="E46" s="11" t="s">
        <v>7</v>
      </c>
      <c r="F46" s="2"/>
      <c r="G46" s="2"/>
      <c r="L46" s="9"/>
      <c r="M46" s="72"/>
      <c r="N46" s="72"/>
      <c r="O46" s="73"/>
      <c r="Q46" s="9"/>
      <c r="R46" s="72"/>
      <c r="S46" s="72"/>
      <c r="T46" s="73"/>
    </row>
    <row r="47" ht="15.75" customHeight="1">
      <c r="A47" s="13"/>
      <c r="B47" s="13"/>
      <c r="C47" s="13"/>
      <c r="D47" s="13"/>
      <c r="E47" s="14" t="s">
        <v>12</v>
      </c>
      <c r="F47" s="14" t="s">
        <v>13</v>
      </c>
      <c r="G47" s="15" t="s">
        <v>14</v>
      </c>
      <c r="L47" s="17"/>
      <c r="M47" s="70"/>
      <c r="N47" s="70"/>
      <c r="O47" s="70"/>
      <c r="Q47" s="56"/>
      <c r="R47" s="14"/>
      <c r="S47" s="14"/>
      <c r="T47" s="15"/>
    </row>
    <row r="48" ht="15.75" customHeight="1">
      <c r="A48" s="14" t="str">
        <f>QDL!B21</f>
        <v>L18</v>
      </c>
      <c r="B48" s="25" t="s">
        <v>122</v>
      </c>
      <c r="C48" s="27">
        <f>QDL!D217</f>
        <v>6</v>
      </c>
      <c r="D48" s="14">
        <v>5.0</v>
      </c>
      <c r="E48" s="14" t="str">
        <f>'BALANÇO TOTAL'!E21</f>
        <v>-</v>
      </c>
      <c r="F48" s="14" t="str">
        <f>'BALANÇO TOTAL'!F21</f>
        <v>-</v>
      </c>
      <c r="G48" s="14">
        <f>'BALANÇO TOTAL'!G21</f>
        <v>360</v>
      </c>
      <c r="L48" s="61"/>
      <c r="M48" s="70"/>
      <c r="N48" s="70"/>
      <c r="O48" s="70"/>
      <c r="Q48" s="61"/>
      <c r="R48" s="70"/>
      <c r="S48" s="70"/>
      <c r="T48" s="70"/>
    </row>
    <row r="49" ht="15.75" customHeight="1">
      <c r="A49" s="70"/>
      <c r="B49" s="78"/>
      <c r="C49" s="70"/>
      <c r="D49" s="70"/>
      <c r="E49" s="70"/>
      <c r="F49" s="70"/>
      <c r="G49" s="70"/>
      <c r="L49" s="63"/>
      <c r="M49" s="14"/>
      <c r="N49" s="14"/>
      <c r="O49" s="14"/>
      <c r="Q49" s="63"/>
      <c r="R49" s="14"/>
      <c r="S49" s="14"/>
      <c r="T49" s="14"/>
    </row>
    <row r="50" ht="15.75" customHeight="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5.75" customHeight="1">
      <c r="A51" s="7" t="s">
        <v>123</v>
      </c>
      <c r="B51" s="8"/>
      <c r="C51" s="8"/>
      <c r="D51" s="8"/>
      <c r="E51" s="8"/>
      <c r="F51" s="8"/>
      <c r="G51" s="8"/>
      <c r="L51" s="71"/>
      <c r="M51" s="11"/>
      <c r="N51" s="2"/>
      <c r="O51" s="2"/>
      <c r="Q51" s="71"/>
      <c r="R51" s="11"/>
      <c r="S51" s="2"/>
      <c r="T51" s="2"/>
    </row>
    <row r="52" ht="15.75" customHeight="1">
      <c r="A52" s="10" t="s">
        <v>3</v>
      </c>
      <c r="B52" s="10" t="s">
        <v>4</v>
      </c>
      <c r="C52" s="10" t="s">
        <v>5</v>
      </c>
      <c r="D52" s="10" t="s">
        <v>6</v>
      </c>
      <c r="E52" s="11" t="s">
        <v>7</v>
      </c>
      <c r="F52" s="2"/>
      <c r="G52" s="2"/>
      <c r="L52" s="9"/>
      <c r="M52" s="72"/>
      <c r="N52" s="72"/>
      <c r="O52" s="73"/>
      <c r="Q52" s="9"/>
      <c r="R52" s="72"/>
      <c r="S52" s="72"/>
      <c r="T52" s="73"/>
    </row>
    <row r="53" ht="15.75" customHeight="1">
      <c r="A53" s="13"/>
      <c r="B53" s="13"/>
      <c r="C53" s="13"/>
      <c r="D53" s="13"/>
      <c r="E53" s="14" t="s">
        <v>12</v>
      </c>
      <c r="F53" s="14" t="s">
        <v>13</v>
      </c>
      <c r="G53" s="15" t="s">
        <v>14</v>
      </c>
      <c r="I53" s="101">
        <f>SUM(E54:G55)</f>
        <v>1980</v>
      </c>
      <c r="L53" s="17"/>
      <c r="M53" s="70"/>
      <c r="N53" s="70"/>
      <c r="O53" s="70"/>
      <c r="Q53" s="17"/>
      <c r="R53" s="70"/>
      <c r="S53" s="70"/>
      <c r="T53" s="70"/>
    </row>
    <row r="54" ht="15.75" customHeight="1">
      <c r="A54" s="70" t="str">
        <f>QDL!B22</f>
        <v>L19</v>
      </c>
      <c r="B54" s="78" t="s">
        <v>122</v>
      </c>
      <c r="C54" s="87">
        <f>QDL!D218</f>
        <v>6</v>
      </c>
      <c r="D54" s="70">
        <v>5.0</v>
      </c>
      <c r="E54" s="70" t="str">
        <f>'BALANÇO TOTAL'!E22</f>
        <v>-</v>
      </c>
      <c r="F54" s="70">
        <f>'BALANÇO TOTAL'!F22</f>
        <v>540</v>
      </c>
      <c r="G54" s="70" t="str">
        <f>'BALANÇO TOTAL'!G22</f>
        <v>-</v>
      </c>
      <c r="I54" s="101">
        <f>I53/2</f>
        <v>990</v>
      </c>
      <c r="L54" s="17"/>
      <c r="M54" s="70"/>
      <c r="N54" s="70"/>
      <c r="O54" s="70"/>
      <c r="Q54" s="56"/>
      <c r="R54" s="14"/>
      <c r="S54" s="14"/>
      <c r="T54" s="15"/>
    </row>
    <row r="55" ht="15.75" customHeight="1">
      <c r="A55" s="14" t="str">
        <f>QDL!B23</f>
        <v>L20</v>
      </c>
      <c r="B55" s="25" t="s">
        <v>19</v>
      </c>
      <c r="C55" s="87">
        <f>QDL!D219</f>
        <v>10</v>
      </c>
      <c r="D55" s="14">
        <v>5.0</v>
      </c>
      <c r="E55" s="14" t="str">
        <f>'BALANÇO TOTAL'!E23</f>
        <v>-</v>
      </c>
      <c r="F55" s="14" t="str">
        <f>'BALANÇO TOTAL'!F23</f>
        <v>-</v>
      </c>
      <c r="G55" s="14">
        <f>'BALANÇO TOTAL'!G23</f>
        <v>1440</v>
      </c>
      <c r="I55" s="106">
        <f>G55/220</f>
        <v>6.545454545</v>
      </c>
      <c r="L55" s="61"/>
      <c r="M55" s="70"/>
      <c r="N55" s="70"/>
      <c r="O55" s="70"/>
      <c r="Q55" s="61"/>
      <c r="R55" s="70"/>
      <c r="S55" s="70"/>
      <c r="T55" s="70"/>
    </row>
    <row r="56" ht="15.75" customHeight="1">
      <c r="A56" s="70"/>
      <c r="B56" s="78"/>
      <c r="C56" s="70"/>
      <c r="D56" s="70"/>
      <c r="E56" s="70"/>
      <c r="F56" s="70"/>
      <c r="G56" s="70"/>
      <c r="L56" s="63"/>
      <c r="M56" s="14"/>
      <c r="N56" s="14"/>
      <c r="O56" s="14"/>
      <c r="Q56" s="63"/>
      <c r="R56" s="14"/>
      <c r="S56" s="14"/>
      <c r="T56" s="14"/>
    </row>
    <row r="57" ht="15.7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15.75" customHeight="1">
      <c r="A58" s="7" t="s">
        <v>127</v>
      </c>
      <c r="B58" s="8"/>
      <c r="C58" s="8"/>
      <c r="D58" s="8"/>
      <c r="E58" s="8"/>
      <c r="F58" s="8"/>
      <c r="G58" s="8"/>
      <c r="L58" s="71"/>
      <c r="M58" s="11"/>
      <c r="N58" s="2"/>
      <c r="O58" s="2"/>
      <c r="Q58" s="71"/>
      <c r="R58" s="11"/>
      <c r="S58" s="2"/>
      <c r="T58" s="2"/>
    </row>
    <row r="59" ht="15.75" customHeight="1">
      <c r="A59" s="10" t="s">
        <v>3</v>
      </c>
      <c r="B59" s="10" t="s">
        <v>4</v>
      </c>
      <c r="C59" s="10" t="s">
        <v>5</v>
      </c>
      <c r="D59" s="10" t="s">
        <v>6</v>
      </c>
      <c r="E59" s="11" t="s">
        <v>7</v>
      </c>
      <c r="F59" s="2"/>
      <c r="G59" s="2"/>
      <c r="L59" s="9"/>
      <c r="M59" s="72"/>
      <c r="N59" s="72"/>
      <c r="O59" s="73"/>
      <c r="Q59" s="9"/>
      <c r="R59" s="72"/>
      <c r="S59" s="72"/>
      <c r="T59" s="73"/>
    </row>
    <row r="60" ht="15.75" customHeight="1">
      <c r="A60" s="13"/>
      <c r="B60" s="13"/>
      <c r="C60" s="13"/>
      <c r="D60" s="13"/>
      <c r="E60" s="14" t="s">
        <v>12</v>
      </c>
      <c r="F60" s="14" t="s">
        <v>13</v>
      </c>
      <c r="G60" s="15" t="s">
        <v>14</v>
      </c>
      <c r="L60" s="17"/>
      <c r="M60" s="70"/>
      <c r="N60" s="70"/>
      <c r="O60" s="70"/>
      <c r="Q60" s="56"/>
      <c r="R60" s="14"/>
      <c r="S60" s="14"/>
      <c r="T60" s="27"/>
    </row>
    <row r="61" ht="15.75" customHeight="1">
      <c r="A61" s="14" t="str">
        <f>QDL!B24</f>
        <v>L21</v>
      </c>
      <c r="B61" s="25" t="s">
        <v>122</v>
      </c>
      <c r="C61" s="27">
        <f>QDL!D220</f>
        <v>6</v>
      </c>
      <c r="D61" s="14">
        <v>5.0</v>
      </c>
      <c r="E61" s="14" t="str">
        <f>'BALANÇO TOTAL'!E24</f>
        <v>-</v>
      </c>
      <c r="F61" s="14" t="str">
        <f>'BALANÇO TOTAL'!F24</f>
        <v>-</v>
      </c>
      <c r="G61" s="14">
        <f>'BALANÇO TOTAL'!G24</f>
        <v>180</v>
      </c>
      <c r="L61" s="61"/>
      <c r="M61" s="70"/>
      <c r="N61" s="70"/>
      <c r="O61" s="70"/>
      <c r="Q61" s="61"/>
      <c r="R61" s="70"/>
      <c r="S61" s="70"/>
      <c r="T61" s="70"/>
    </row>
    <row r="62" ht="15.75" customHeight="1">
      <c r="A62" s="70"/>
      <c r="B62" s="78"/>
      <c r="C62" s="70"/>
      <c r="D62" s="70"/>
      <c r="E62" s="70"/>
      <c r="F62" s="70"/>
      <c r="G62" s="70"/>
      <c r="L62" s="63"/>
      <c r="M62" s="14"/>
      <c r="N62" s="14"/>
      <c r="O62" s="14"/>
      <c r="Q62" s="63"/>
      <c r="R62" s="14"/>
      <c r="S62" s="14"/>
      <c r="T62" s="14"/>
    </row>
    <row r="63" ht="15.7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60">
    <mergeCell ref="M51:O51"/>
    <mergeCell ref="R51:T51"/>
    <mergeCell ref="B52:B53"/>
    <mergeCell ref="C52:C53"/>
    <mergeCell ref="D52:D53"/>
    <mergeCell ref="E52:G52"/>
    <mergeCell ref="A58:G58"/>
    <mergeCell ref="M58:O58"/>
    <mergeCell ref="R58:T58"/>
    <mergeCell ref="A1:G1"/>
    <mergeCell ref="A2:A3"/>
    <mergeCell ref="B2:B3"/>
    <mergeCell ref="C2:C3"/>
    <mergeCell ref="D2:D3"/>
    <mergeCell ref="E2:G2"/>
    <mergeCell ref="A7:G7"/>
    <mergeCell ref="B8:B9"/>
    <mergeCell ref="C8:C9"/>
    <mergeCell ref="D8:D9"/>
    <mergeCell ref="E8:G8"/>
    <mergeCell ref="A13:G13"/>
    <mergeCell ref="M13:O13"/>
    <mergeCell ref="R13:T13"/>
    <mergeCell ref="E14:G14"/>
    <mergeCell ref="A8:A9"/>
    <mergeCell ref="B14:B15"/>
    <mergeCell ref="C14:C15"/>
    <mergeCell ref="D14:D15"/>
    <mergeCell ref="A19:G19"/>
    <mergeCell ref="M19:O19"/>
    <mergeCell ref="R19:T19"/>
    <mergeCell ref="E20:G20"/>
    <mergeCell ref="A14:A15"/>
    <mergeCell ref="B20:B21"/>
    <mergeCell ref="C20:C21"/>
    <mergeCell ref="D20:D21"/>
    <mergeCell ref="A25:G25"/>
    <mergeCell ref="M25:O25"/>
    <mergeCell ref="R25:T25"/>
    <mergeCell ref="E26:G26"/>
    <mergeCell ref="A20:A21"/>
    <mergeCell ref="A26:A27"/>
    <mergeCell ref="B26:B27"/>
    <mergeCell ref="C26:C27"/>
    <mergeCell ref="D26:D27"/>
    <mergeCell ref="M45:O45"/>
    <mergeCell ref="R45:T45"/>
    <mergeCell ref="A45:G45"/>
    <mergeCell ref="A46:A47"/>
    <mergeCell ref="B46:B47"/>
    <mergeCell ref="C46:C47"/>
    <mergeCell ref="D46:D47"/>
    <mergeCell ref="E46:G46"/>
    <mergeCell ref="A51:G51"/>
    <mergeCell ref="A52:A53"/>
    <mergeCell ref="A59:A60"/>
    <mergeCell ref="B59:B60"/>
    <mergeCell ref="C59:C60"/>
    <mergeCell ref="D59:D60"/>
    <mergeCell ref="E59:G59"/>
  </mergeCells>
  <printOptions/>
  <pageMargins bottom="0.787401575" footer="0.0" header="0.0" left="0.511811024" right="0.511811024" top="0.787401575"/>
  <pageSetup orientation="landscape"/>
  <drawing r:id="rId1"/>
  <tableParts count="22"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1.22" defaultRowHeight="15.0"/>
  <cols>
    <col customWidth="1" min="3" max="3" width="17.22"/>
  </cols>
  <sheetData>
    <row r="1" ht="15.75" customHeight="1">
      <c r="E1" s="11" t="s">
        <v>7</v>
      </c>
      <c r="F1" s="2"/>
      <c r="G1" s="2"/>
    </row>
    <row r="2" ht="15.75" customHeight="1">
      <c r="E2" s="14" t="s">
        <v>12</v>
      </c>
      <c r="F2" s="14" t="s">
        <v>13</v>
      </c>
      <c r="G2" s="15" t="s">
        <v>14</v>
      </c>
      <c r="M2" s="9"/>
      <c r="N2" s="9"/>
      <c r="O2" s="12"/>
    </row>
    <row r="3" ht="15.75" customHeight="1">
      <c r="A3" s="101" t="s">
        <v>38</v>
      </c>
      <c r="B3" s="101" t="s">
        <v>39</v>
      </c>
      <c r="C3" s="101" t="s">
        <v>40</v>
      </c>
      <c r="D3" s="101">
        <f>QDL!I3</f>
        <v>1350</v>
      </c>
      <c r="E3" s="119">
        <v>1350.0</v>
      </c>
      <c r="F3" s="119" t="s">
        <v>135</v>
      </c>
      <c r="G3" s="119" t="s">
        <v>135</v>
      </c>
      <c r="I3" s="101"/>
      <c r="J3" s="101"/>
      <c r="K3" s="101"/>
      <c r="L3" s="101"/>
      <c r="M3" s="17"/>
      <c r="N3" s="17"/>
      <c r="O3" s="17"/>
    </row>
    <row r="4" ht="15.75" customHeight="1">
      <c r="A4" s="101" t="s">
        <v>47</v>
      </c>
      <c r="B4" s="101" t="s">
        <v>48</v>
      </c>
      <c r="C4" s="101" t="s">
        <v>50</v>
      </c>
      <c r="D4" s="101">
        <f>QDL!I4</f>
        <v>1160</v>
      </c>
      <c r="E4" s="70" t="s">
        <v>135</v>
      </c>
      <c r="F4" s="70">
        <v>1160.0</v>
      </c>
      <c r="G4" s="70" t="s">
        <v>135</v>
      </c>
      <c r="I4" s="101"/>
      <c r="J4" s="101"/>
      <c r="K4" s="101"/>
      <c r="L4" s="101"/>
      <c r="M4" s="17"/>
      <c r="N4" s="17"/>
      <c r="O4" s="17"/>
    </row>
    <row r="5" ht="15.75" customHeight="1">
      <c r="A5" s="101" t="s">
        <v>59</v>
      </c>
      <c r="B5" s="101" t="s">
        <v>60</v>
      </c>
      <c r="C5" s="101" t="s">
        <v>61</v>
      </c>
      <c r="D5" s="101">
        <f>QDL!I5</f>
        <v>1740</v>
      </c>
      <c r="E5" s="119" t="s">
        <v>135</v>
      </c>
      <c r="F5" s="119" t="s">
        <v>135</v>
      </c>
      <c r="G5" s="119">
        <v>1740.0</v>
      </c>
      <c r="I5" s="101"/>
      <c r="J5" s="101"/>
      <c r="K5" s="101"/>
      <c r="L5" s="101"/>
      <c r="M5" s="17"/>
      <c r="N5" s="17"/>
      <c r="O5" s="17"/>
    </row>
    <row r="6" ht="15.75" customHeight="1">
      <c r="A6" s="101" t="s">
        <v>63</v>
      </c>
      <c r="B6" s="101" t="s">
        <v>64</v>
      </c>
      <c r="C6" s="101" t="s">
        <v>65</v>
      </c>
      <c r="D6" s="101">
        <f>QDL!I6</f>
        <v>1740</v>
      </c>
      <c r="E6" s="70" t="s">
        <v>135</v>
      </c>
      <c r="F6" s="70">
        <v>1740.0</v>
      </c>
      <c r="G6" s="70" t="s">
        <v>135</v>
      </c>
      <c r="I6" s="101"/>
      <c r="J6" s="101"/>
      <c r="K6" s="101"/>
      <c r="L6" s="101"/>
      <c r="M6" s="17"/>
      <c r="N6" s="17"/>
      <c r="O6" s="17"/>
    </row>
    <row r="7" ht="15.75" customHeight="1">
      <c r="A7" s="101" t="s">
        <v>66</v>
      </c>
      <c r="B7" s="101" t="s">
        <v>67</v>
      </c>
      <c r="C7" s="101" t="s">
        <v>68</v>
      </c>
      <c r="D7" s="120">
        <f>QDL!I7</f>
        <v>4400</v>
      </c>
      <c r="E7" s="119">
        <v>4400.0</v>
      </c>
      <c r="F7" s="119" t="s">
        <v>135</v>
      </c>
      <c r="G7" s="119" t="s">
        <v>135</v>
      </c>
      <c r="I7" s="101"/>
      <c r="J7" s="101"/>
      <c r="K7" s="101"/>
      <c r="L7" s="120"/>
      <c r="M7" s="17"/>
      <c r="N7" s="17"/>
      <c r="O7" s="17"/>
    </row>
    <row r="8" ht="15.75" customHeight="1">
      <c r="B8" s="101" t="s">
        <v>70</v>
      </c>
      <c r="C8" s="101" t="s">
        <v>68</v>
      </c>
      <c r="D8" s="120">
        <f>QDL!I8</f>
        <v>4400</v>
      </c>
      <c r="E8" s="70" t="s">
        <v>135</v>
      </c>
      <c r="F8" s="70" t="s">
        <v>135</v>
      </c>
      <c r="G8" s="70">
        <v>4400.0</v>
      </c>
      <c r="J8" s="101"/>
      <c r="K8" s="101"/>
      <c r="L8" s="120"/>
      <c r="M8" s="17"/>
      <c r="N8" s="17"/>
      <c r="O8" s="17"/>
    </row>
    <row r="9" ht="15.75" customHeight="1">
      <c r="B9" s="101" t="s">
        <v>71</v>
      </c>
      <c r="C9" s="101" t="s">
        <v>68</v>
      </c>
      <c r="D9" s="120">
        <f>QDL!I9</f>
        <v>4400</v>
      </c>
      <c r="E9" s="119" t="s">
        <v>135</v>
      </c>
      <c r="F9" s="119">
        <v>4400.0</v>
      </c>
      <c r="G9" s="119" t="s">
        <v>135</v>
      </c>
      <c r="J9" s="101"/>
      <c r="K9" s="101"/>
      <c r="L9" s="120"/>
      <c r="M9" s="17"/>
      <c r="N9" s="17"/>
      <c r="O9" s="17"/>
    </row>
    <row r="10" ht="15.75" customHeight="1">
      <c r="B10" s="101" t="s">
        <v>72</v>
      </c>
      <c r="C10" s="101" t="s">
        <v>68</v>
      </c>
      <c r="D10" s="120">
        <f>QDL!I10</f>
        <v>4400</v>
      </c>
      <c r="E10" s="70">
        <v>4400.0</v>
      </c>
      <c r="F10" s="70" t="s">
        <v>135</v>
      </c>
      <c r="G10" s="70" t="s">
        <v>135</v>
      </c>
      <c r="J10" s="101"/>
      <c r="K10" s="101"/>
      <c r="L10" s="120"/>
      <c r="M10" s="17"/>
      <c r="N10" s="17"/>
      <c r="O10" s="17"/>
    </row>
    <row r="11" ht="15.75" customHeight="1">
      <c r="B11" s="101" t="s">
        <v>73</v>
      </c>
      <c r="C11" s="101" t="s">
        <v>68</v>
      </c>
      <c r="D11" s="120">
        <f>QDL!I11</f>
        <v>4400</v>
      </c>
      <c r="E11" s="119" t="s">
        <v>135</v>
      </c>
      <c r="F11" s="119" t="s">
        <v>135</v>
      </c>
      <c r="G11" s="119">
        <v>4400.0</v>
      </c>
      <c r="J11" s="101"/>
      <c r="K11" s="101"/>
      <c r="L11" s="120"/>
      <c r="M11" s="17"/>
      <c r="N11" s="17"/>
      <c r="O11" s="17"/>
    </row>
    <row r="12" ht="15.75" customHeight="1">
      <c r="B12" s="101" t="s">
        <v>74</v>
      </c>
      <c r="C12" s="101" t="s">
        <v>68</v>
      </c>
      <c r="D12" s="120">
        <f>QDL!I12</f>
        <v>4400</v>
      </c>
      <c r="E12" s="70" t="s">
        <v>135</v>
      </c>
      <c r="F12" s="70">
        <v>4400.0</v>
      </c>
      <c r="G12" s="70" t="s">
        <v>135</v>
      </c>
      <c r="J12" s="101"/>
      <c r="K12" s="101"/>
      <c r="L12" s="120"/>
      <c r="M12" s="17"/>
      <c r="N12" s="17"/>
      <c r="O12" s="17"/>
    </row>
    <row r="13" ht="15.75" customHeight="1">
      <c r="B13" s="101" t="s">
        <v>75</v>
      </c>
      <c r="C13" s="101" t="s">
        <v>68</v>
      </c>
      <c r="D13" s="120">
        <f>QDL!I13</f>
        <v>4400</v>
      </c>
      <c r="E13" s="119">
        <v>4400.0</v>
      </c>
      <c r="F13" s="119" t="s">
        <v>135</v>
      </c>
      <c r="G13" s="119" t="s">
        <v>135</v>
      </c>
      <c r="J13" s="101"/>
      <c r="K13" s="101"/>
      <c r="L13" s="120"/>
      <c r="M13" s="17"/>
      <c r="N13" s="17"/>
      <c r="O13" s="17"/>
    </row>
    <row r="14" ht="15.75" customHeight="1">
      <c r="B14" s="101" t="s">
        <v>77</v>
      </c>
      <c r="C14" s="101" t="s">
        <v>68</v>
      </c>
      <c r="D14" s="120">
        <f>QDL!I14</f>
        <v>4400</v>
      </c>
      <c r="E14" s="70" t="s">
        <v>135</v>
      </c>
      <c r="F14" s="70" t="s">
        <v>135</v>
      </c>
      <c r="G14" s="70">
        <v>4400.0</v>
      </c>
      <c r="J14" s="101"/>
      <c r="K14" s="101"/>
      <c r="L14" s="120"/>
      <c r="M14" s="17"/>
      <c r="N14" s="17"/>
      <c r="O14" s="17"/>
    </row>
    <row r="15" ht="15.75" customHeight="1">
      <c r="B15" s="101" t="s">
        <v>79</v>
      </c>
      <c r="C15" s="101" t="s">
        <v>68</v>
      </c>
      <c r="D15" s="120">
        <f>QDL!I15</f>
        <v>4400</v>
      </c>
      <c r="E15" s="70" t="s">
        <v>135</v>
      </c>
      <c r="F15" s="70">
        <v>4400.0</v>
      </c>
      <c r="G15" s="70" t="s">
        <v>135</v>
      </c>
      <c r="J15" s="101"/>
      <c r="K15" s="101"/>
      <c r="L15" s="120"/>
      <c r="M15" s="17"/>
      <c r="N15" s="17"/>
      <c r="O15" s="17"/>
    </row>
    <row r="16" ht="15.75" customHeight="1">
      <c r="B16" s="101" t="s">
        <v>80</v>
      </c>
      <c r="C16" s="101" t="s">
        <v>68</v>
      </c>
      <c r="D16" s="120">
        <f>QDL!I16</f>
        <v>4400</v>
      </c>
      <c r="E16" s="70">
        <v>4400.0</v>
      </c>
      <c r="F16" s="70" t="s">
        <v>135</v>
      </c>
      <c r="G16" s="70" t="s">
        <v>135</v>
      </c>
      <c r="J16" s="101"/>
      <c r="K16" s="101"/>
      <c r="L16" s="120"/>
      <c r="M16" s="17"/>
      <c r="N16" s="17"/>
      <c r="O16" s="17"/>
    </row>
    <row r="17" ht="15.75" customHeight="1">
      <c r="B17" s="101" t="s">
        <v>82</v>
      </c>
      <c r="C17" s="101" t="s">
        <v>68</v>
      </c>
      <c r="D17" s="120">
        <f>QDL!I17</f>
        <v>4400</v>
      </c>
      <c r="E17" s="70" t="s">
        <v>135</v>
      </c>
      <c r="F17" s="70" t="s">
        <v>135</v>
      </c>
      <c r="G17" s="70">
        <v>4400.0</v>
      </c>
      <c r="J17" s="101"/>
      <c r="K17" s="101"/>
      <c r="L17" s="120"/>
      <c r="M17" s="17"/>
      <c r="N17" s="17"/>
      <c r="O17" s="17"/>
    </row>
    <row r="18" ht="15.75" customHeight="1">
      <c r="B18" s="101" t="s">
        <v>84</v>
      </c>
      <c r="C18" s="101" t="s">
        <v>68</v>
      </c>
      <c r="D18" s="120">
        <f>QDL!I18</f>
        <v>2640</v>
      </c>
      <c r="E18" s="70" t="s">
        <v>135</v>
      </c>
      <c r="F18" s="70">
        <v>2640.0</v>
      </c>
      <c r="G18" s="70" t="s">
        <v>135</v>
      </c>
      <c r="J18" s="101"/>
      <c r="K18" s="101"/>
      <c r="L18" s="120"/>
      <c r="M18" s="17"/>
      <c r="N18" s="17"/>
      <c r="O18" s="17"/>
    </row>
    <row r="19" ht="15.75" customHeight="1">
      <c r="B19" s="101" t="s">
        <v>85</v>
      </c>
      <c r="C19" s="101" t="s">
        <v>86</v>
      </c>
      <c r="D19" s="120">
        <f>QDL!I19</f>
        <v>2320</v>
      </c>
      <c r="E19" s="70" t="s">
        <v>135</v>
      </c>
      <c r="F19" s="70">
        <v>2320.0</v>
      </c>
      <c r="G19" s="70" t="s">
        <v>135</v>
      </c>
      <c r="J19" s="101"/>
      <c r="K19" s="101"/>
      <c r="L19" s="120"/>
      <c r="M19" s="17"/>
      <c r="N19" s="17"/>
      <c r="O19" s="17"/>
    </row>
    <row r="20" ht="15.75" customHeight="1">
      <c r="A20" s="101"/>
      <c r="B20" s="101" t="s">
        <v>87</v>
      </c>
      <c r="C20" s="101" t="s">
        <v>86</v>
      </c>
      <c r="D20" s="101">
        <f>QDL!I20</f>
        <v>2320</v>
      </c>
      <c r="E20" s="119">
        <v>2320.0</v>
      </c>
      <c r="F20" s="119" t="s">
        <v>135</v>
      </c>
      <c r="G20" s="119" t="s">
        <v>135</v>
      </c>
      <c r="I20" s="101"/>
      <c r="J20" s="101"/>
      <c r="K20" s="101"/>
      <c r="L20" s="101"/>
      <c r="M20" s="17"/>
      <c r="N20" s="17"/>
      <c r="O20" s="17"/>
    </row>
    <row r="21" ht="15.75" customHeight="1">
      <c r="A21" s="101" t="s">
        <v>90</v>
      </c>
      <c r="B21" s="101" t="s">
        <v>91</v>
      </c>
      <c r="C21" s="101" t="s">
        <v>92</v>
      </c>
      <c r="D21" s="101">
        <f>QDL!I21</f>
        <v>360</v>
      </c>
      <c r="E21" s="119" t="s">
        <v>135</v>
      </c>
      <c r="F21" s="119" t="s">
        <v>135</v>
      </c>
      <c r="G21" s="119">
        <v>360.0</v>
      </c>
      <c r="I21" s="101"/>
      <c r="J21" s="101"/>
      <c r="K21" s="101"/>
      <c r="L21" s="101"/>
      <c r="M21" s="17"/>
      <c r="N21" s="17"/>
      <c r="O21" s="17"/>
    </row>
    <row r="22" ht="15.75" customHeight="1">
      <c r="A22" s="101" t="s">
        <v>94</v>
      </c>
      <c r="B22" s="101" t="s">
        <v>95</v>
      </c>
      <c r="C22" s="101" t="s">
        <v>96</v>
      </c>
      <c r="D22" s="101">
        <f>QDL!I22</f>
        <v>540</v>
      </c>
      <c r="E22" s="70" t="s">
        <v>135</v>
      </c>
      <c r="F22" s="70">
        <v>540.0</v>
      </c>
      <c r="G22" s="70" t="s">
        <v>135</v>
      </c>
      <c r="I22" s="101"/>
      <c r="J22" s="101"/>
      <c r="K22" s="101"/>
      <c r="L22" s="101"/>
      <c r="M22" s="17"/>
      <c r="N22" s="17"/>
      <c r="O22" s="17"/>
    </row>
    <row r="23" ht="15.75" customHeight="1">
      <c r="B23" s="101" t="s">
        <v>98</v>
      </c>
      <c r="C23" s="101" t="s">
        <v>99</v>
      </c>
      <c r="D23" s="101">
        <f>QDL!I23</f>
        <v>1440</v>
      </c>
      <c r="E23" s="119" t="s">
        <v>135</v>
      </c>
      <c r="F23" s="119" t="s">
        <v>135</v>
      </c>
      <c r="G23" s="119">
        <v>1440.0</v>
      </c>
      <c r="J23" s="101"/>
      <c r="K23" s="101"/>
      <c r="L23" s="101"/>
      <c r="M23" s="17"/>
      <c r="N23" s="17"/>
      <c r="O23" s="17"/>
    </row>
    <row r="24" ht="15.75" customHeight="1">
      <c r="A24" s="101" t="s">
        <v>100</v>
      </c>
      <c r="B24" s="101" t="s">
        <v>101</v>
      </c>
      <c r="C24" s="101" t="s">
        <v>102</v>
      </c>
      <c r="D24" s="101">
        <f>QDL!I24</f>
        <v>180</v>
      </c>
      <c r="E24" s="70" t="s">
        <v>135</v>
      </c>
      <c r="F24" s="70" t="s">
        <v>135</v>
      </c>
      <c r="G24" s="70">
        <v>180.0</v>
      </c>
      <c r="I24" s="101"/>
      <c r="J24" s="101"/>
      <c r="K24" s="101"/>
      <c r="L24" s="101"/>
      <c r="M24" s="17"/>
      <c r="N24" s="17"/>
      <c r="O24" s="17"/>
    </row>
    <row r="25" ht="15.75" customHeight="1">
      <c r="D25" s="101"/>
      <c r="E25" s="119">
        <f t="shared" ref="E25:G25" si="1">SUM(E3:E24)</f>
        <v>21270</v>
      </c>
      <c r="F25" s="119">
        <f t="shared" si="1"/>
        <v>21600</v>
      </c>
      <c r="G25" s="119">
        <f t="shared" si="1"/>
        <v>21320</v>
      </c>
      <c r="M25" s="50"/>
      <c r="N25" s="50"/>
      <c r="O25" s="50"/>
    </row>
    <row r="26" ht="15.75" customHeight="1">
      <c r="E26" s="124" t="s">
        <v>138</v>
      </c>
      <c r="F26" s="124">
        <f>SUM(E25:G25)</f>
        <v>64190</v>
      </c>
      <c r="G26" s="124">
        <f>F26/3</f>
        <v>21396.66667</v>
      </c>
      <c r="M26" s="50"/>
      <c r="N26" s="50"/>
      <c r="O26" s="50"/>
    </row>
    <row r="27" ht="15.75" customHeight="1">
      <c r="E27" s="11" t="s">
        <v>7</v>
      </c>
      <c r="F27" s="2"/>
      <c r="G27" s="2"/>
      <c r="H27" s="126"/>
      <c r="M27" s="50"/>
      <c r="N27" s="50"/>
      <c r="O27" s="50"/>
    </row>
    <row r="28" ht="15.75" customHeight="1">
      <c r="E28" s="14" t="s">
        <v>12</v>
      </c>
      <c r="F28" s="14" t="s">
        <v>13</v>
      </c>
      <c r="G28" s="15" t="s">
        <v>14</v>
      </c>
      <c r="H28" s="70"/>
      <c r="M28" s="127"/>
      <c r="N28" s="127"/>
      <c r="O28" s="127"/>
    </row>
    <row r="29" ht="15.75" customHeight="1">
      <c r="A29" s="128" t="s">
        <v>141</v>
      </c>
      <c r="B29" s="41" t="s">
        <v>142</v>
      </c>
      <c r="C29" s="129" t="s">
        <v>50</v>
      </c>
      <c r="D29" s="101">
        <v>800.0</v>
      </c>
      <c r="E29" s="119">
        <v>800.0</v>
      </c>
      <c r="F29" s="119" t="s">
        <v>135</v>
      </c>
      <c r="G29" s="119" t="s">
        <v>135</v>
      </c>
      <c r="H29" s="70"/>
      <c r="M29" s="124"/>
      <c r="N29" s="124"/>
      <c r="O29" s="124"/>
    </row>
    <row r="30" ht="15.75" customHeight="1">
      <c r="A30" s="40"/>
      <c r="B30" s="41" t="s">
        <v>143</v>
      </c>
      <c r="C30" s="40"/>
      <c r="D30" s="101">
        <v>1000.0</v>
      </c>
      <c r="E30" s="70">
        <f t="shared" ref="E30:G30" si="2">1000/3</f>
        <v>333.3333333</v>
      </c>
      <c r="F30" s="70">
        <f t="shared" si="2"/>
        <v>333.3333333</v>
      </c>
      <c r="G30" s="70">
        <f t="shared" si="2"/>
        <v>333.3333333</v>
      </c>
      <c r="H30" s="70"/>
    </row>
    <row r="31" ht="15.75" customHeight="1">
      <c r="A31" s="128" t="s">
        <v>144</v>
      </c>
      <c r="B31" s="41" t="s">
        <v>145</v>
      </c>
      <c r="C31" s="129" t="s">
        <v>61</v>
      </c>
      <c r="D31" s="101">
        <v>1600.0</v>
      </c>
      <c r="E31" s="119" t="s">
        <v>135</v>
      </c>
      <c r="F31" s="119">
        <v>600.0</v>
      </c>
      <c r="G31" s="119" t="s">
        <v>135</v>
      </c>
      <c r="H31" s="70"/>
      <c r="M31" s="9"/>
      <c r="N31" s="9"/>
      <c r="O31" s="12"/>
    </row>
    <row r="32" ht="15.75" customHeight="1">
      <c r="A32" s="40"/>
      <c r="B32" s="41" t="s">
        <v>146</v>
      </c>
      <c r="C32" s="40"/>
      <c r="D32" s="101">
        <v>1000.0</v>
      </c>
      <c r="E32" s="70">
        <f t="shared" ref="E32:G32" si="3">1000/3</f>
        <v>333.3333333</v>
      </c>
      <c r="F32" s="70">
        <f t="shared" si="3"/>
        <v>333.3333333</v>
      </c>
      <c r="G32" s="70">
        <f t="shared" si="3"/>
        <v>333.3333333</v>
      </c>
      <c r="H32" s="70"/>
      <c r="J32" s="129"/>
      <c r="K32" s="101"/>
      <c r="L32" s="101"/>
      <c r="M32" s="17"/>
      <c r="N32" s="17"/>
      <c r="O32" s="17"/>
    </row>
    <row r="33" ht="15.75" customHeight="1">
      <c r="A33" s="128" t="s">
        <v>147</v>
      </c>
      <c r="B33" s="41" t="s">
        <v>148</v>
      </c>
      <c r="C33" s="68" t="s">
        <v>65</v>
      </c>
      <c r="D33" s="101">
        <v>800.0</v>
      </c>
      <c r="E33" s="119" t="s">
        <v>135</v>
      </c>
      <c r="F33" s="119" t="s">
        <v>135</v>
      </c>
      <c r="G33" s="119">
        <v>800.0</v>
      </c>
      <c r="H33" s="70"/>
      <c r="J33" s="40"/>
      <c r="K33" s="101"/>
      <c r="L33" s="101"/>
      <c r="M33" s="18"/>
      <c r="N33" s="18"/>
      <c r="O33" s="18"/>
    </row>
    <row r="34" ht="15.75" customHeight="1">
      <c r="A34" s="40"/>
      <c r="B34" s="41" t="s">
        <v>149</v>
      </c>
      <c r="C34" s="40"/>
      <c r="D34" s="101">
        <v>1000.0</v>
      </c>
      <c r="E34" s="70">
        <v>333.3333333333333</v>
      </c>
      <c r="F34" s="70">
        <v>333.3333333333333</v>
      </c>
      <c r="G34" s="70">
        <v>333.3333333333333</v>
      </c>
      <c r="H34" s="70"/>
      <c r="J34" s="129"/>
      <c r="K34" s="101"/>
      <c r="L34" s="101"/>
      <c r="M34" s="18"/>
      <c r="N34" s="18"/>
      <c r="O34" s="18"/>
    </row>
    <row r="35" ht="15.75" customHeight="1">
      <c r="A35" s="128" t="s">
        <v>150</v>
      </c>
      <c r="B35" s="41" t="s">
        <v>151</v>
      </c>
      <c r="C35" s="68" t="s">
        <v>68</v>
      </c>
      <c r="D35" s="101">
        <v>1600.0</v>
      </c>
      <c r="E35" s="119" t="s">
        <v>135</v>
      </c>
      <c r="F35" s="119">
        <v>2000.0</v>
      </c>
      <c r="G35" s="119" t="s">
        <v>135</v>
      </c>
      <c r="H35" s="70"/>
      <c r="J35" s="40"/>
      <c r="K35" s="101"/>
      <c r="L35" s="101"/>
      <c r="M35" s="18"/>
      <c r="N35" s="18"/>
      <c r="O35" s="18"/>
    </row>
    <row r="36" ht="15.75" customHeight="1">
      <c r="A36" s="34"/>
      <c r="B36" s="41" t="s">
        <v>152</v>
      </c>
      <c r="C36" s="40"/>
      <c r="D36" s="101">
        <v>4000.0</v>
      </c>
      <c r="E36" s="70">
        <f t="shared" ref="E36:G36" si="4">4000/3</f>
        <v>1333.333333</v>
      </c>
      <c r="F36" s="70">
        <f t="shared" si="4"/>
        <v>1333.333333</v>
      </c>
      <c r="G36" s="70">
        <f t="shared" si="4"/>
        <v>1333.333333</v>
      </c>
      <c r="H36" s="70"/>
      <c r="J36" s="68"/>
      <c r="K36" s="101"/>
      <c r="L36" s="101"/>
      <c r="M36" s="18"/>
      <c r="N36" s="18"/>
      <c r="O36" s="18"/>
    </row>
    <row r="37" ht="15.75" customHeight="1">
      <c r="A37" s="34"/>
      <c r="B37" s="41" t="s">
        <v>153</v>
      </c>
      <c r="C37" s="68" t="s">
        <v>86</v>
      </c>
      <c r="D37" s="101">
        <v>1200.0</v>
      </c>
      <c r="E37" s="119">
        <v>1200.0</v>
      </c>
      <c r="F37" s="119" t="s">
        <v>135</v>
      </c>
      <c r="G37" s="119" t="s">
        <v>135</v>
      </c>
      <c r="H37" s="70"/>
      <c r="J37" s="40"/>
      <c r="K37" s="101"/>
      <c r="L37" s="101"/>
      <c r="M37" s="18"/>
      <c r="N37" s="18"/>
      <c r="O37" s="18"/>
    </row>
    <row r="38" ht="15.75" customHeight="1">
      <c r="A38" s="40"/>
      <c r="B38" s="41" t="s">
        <v>154</v>
      </c>
      <c r="C38" s="40"/>
      <c r="D38" s="101">
        <v>1000.0</v>
      </c>
      <c r="E38" s="70">
        <v>333.3333333333333</v>
      </c>
      <c r="F38" s="70">
        <v>333.3333333333333</v>
      </c>
      <c r="G38" s="70">
        <v>333.3333333333333</v>
      </c>
      <c r="H38" s="70"/>
      <c r="J38" s="68"/>
      <c r="K38" s="101"/>
      <c r="L38" s="101"/>
      <c r="M38" s="18"/>
      <c r="N38" s="18"/>
      <c r="O38" s="18"/>
    </row>
    <row r="39" ht="15.75" customHeight="1">
      <c r="A39" s="128" t="s">
        <v>155</v>
      </c>
      <c r="B39" s="41" t="s">
        <v>156</v>
      </c>
      <c r="C39" s="129" t="s">
        <v>92</v>
      </c>
      <c r="D39" s="101">
        <v>600.0</v>
      </c>
      <c r="E39" s="119" t="s">
        <v>135</v>
      </c>
      <c r="F39" s="119" t="s">
        <v>135</v>
      </c>
      <c r="G39" s="119">
        <v>600.0</v>
      </c>
      <c r="H39" s="70"/>
      <c r="J39" s="40"/>
      <c r="K39" s="101"/>
      <c r="L39" s="101"/>
      <c r="M39" s="18"/>
      <c r="N39" s="18"/>
      <c r="O39" s="18"/>
    </row>
    <row r="40" ht="15.75" customHeight="1">
      <c r="A40" s="40"/>
      <c r="B40" s="41" t="s">
        <v>157</v>
      </c>
      <c r="C40" s="40"/>
      <c r="D40" s="130">
        <v>1920.0</v>
      </c>
      <c r="E40" s="70" t="s">
        <v>135</v>
      </c>
      <c r="F40" s="70" t="s">
        <v>135</v>
      </c>
      <c r="G40" s="70">
        <v>1920.0</v>
      </c>
      <c r="H40" s="70"/>
      <c r="J40" s="68"/>
      <c r="K40" s="101"/>
      <c r="L40" s="101"/>
      <c r="M40" s="18"/>
      <c r="N40" s="18"/>
      <c r="O40" s="18"/>
    </row>
    <row r="41" ht="15.75" customHeight="1">
      <c r="A41" s="128" t="s">
        <v>158</v>
      </c>
      <c r="B41" s="41" t="s">
        <v>159</v>
      </c>
      <c r="C41" s="68" t="s">
        <v>96</v>
      </c>
      <c r="D41" s="101">
        <v>500.0</v>
      </c>
      <c r="E41" s="70">
        <v>500.0</v>
      </c>
      <c r="F41" s="70" t="s">
        <v>135</v>
      </c>
      <c r="G41" s="70" t="s">
        <v>135</v>
      </c>
      <c r="H41" s="113"/>
      <c r="J41" s="40"/>
      <c r="K41" s="101"/>
      <c r="L41" s="101"/>
      <c r="M41" s="18"/>
      <c r="N41" s="18"/>
      <c r="O41" s="18"/>
    </row>
    <row r="42" ht="15.75" customHeight="1">
      <c r="A42" s="34"/>
      <c r="B42" s="41" t="s">
        <v>160</v>
      </c>
      <c r="C42" s="40"/>
      <c r="D42" s="130">
        <v>1920.0</v>
      </c>
      <c r="E42" s="70">
        <v>1920.0</v>
      </c>
      <c r="F42" s="70" t="s">
        <v>135</v>
      </c>
      <c r="G42" s="70" t="s">
        <v>135</v>
      </c>
      <c r="J42" s="129"/>
      <c r="K42" s="101"/>
      <c r="L42" s="101"/>
      <c r="M42" s="18"/>
      <c r="N42" s="18"/>
      <c r="O42" s="18"/>
    </row>
    <row r="43" ht="15.75" customHeight="1">
      <c r="A43" s="34"/>
      <c r="B43" s="41" t="s">
        <v>161</v>
      </c>
      <c r="C43" s="68" t="s">
        <v>99</v>
      </c>
      <c r="D43" s="101">
        <v>500.0</v>
      </c>
      <c r="E43" s="70">
        <v>500.0</v>
      </c>
      <c r="F43" s="70" t="s">
        <v>135</v>
      </c>
      <c r="G43" s="70" t="s">
        <v>135</v>
      </c>
      <c r="J43" s="40"/>
      <c r="K43" s="101"/>
      <c r="L43" s="101"/>
      <c r="M43" s="18"/>
      <c r="N43" s="18"/>
      <c r="O43" s="18"/>
    </row>
    <row r="44" ht="15.75" customHeight="1">
      <c r="A44" s="40"/>
      <c r="B44" s="41" t="s">
        <v>162</v>
      </c>
      <c r="C44" s="40"/>
      <c r="D44" s="130">
        <v>1920.0</v>
      </c>
      <c r="E44" s="70" t="s">
        <v>135</v>
      </c>
      <c r="F44" s="70">
        <v>1920.0</v>
      </c>
      <c r="G44" s="70" t="s">
        <v>135</v>
      </c>
      <c r="J44" s="68"/>
      <c r="K44" s="101"/>
      <c r="L44" s="101"/>
      <c r="M44" s="84"/>
      <c r="N44" s="84"/>
      <c r="O44" s="84"/>
    </row>
    <row r="45" ht="15.75" customHeight="1">
      <c r="A45" s="128" t="s">
        <v>163</v>
      </c>
      <c r="B45" s="41" t="s">
        <v>165</v>
      </c>
      <c r="C45" s="129" t="s">
        <v>102</v>
      </c>
      <c r="D45" s="101">
        <v>400.0</v>
      </c>
      <c r="E45" s="70" t="s">
        <v>135</v>
      </c>
      <c r="F45" s="70" t="s">
        <v>135</v>
      </c>
      <c r="G45" s="70">
        <v>1200.0</v>
      </c>
      <c r="J45" s="40"/>
      <c r="K45" s="101"/>
      <c r="L45" s="101"/>
      <c r="M45" s="84"/>
      <c r="N45" s="84"/>
      <c r="O45" s="84"/>
    </row>
    <row r="46" ht="15.75" customHeight="1">
      <c r="A46" s="34"/>
      <c r="B46" s="41" t="s">
        <v>166</v>
      </c>
      <c r="C46" s="34"/>
      <c r="D46" s="101">
        <v>9000.0</v>
      </c>
      <c r="E46" s="70">
        <v>9000.0</v>
      </c>
      <c r="F46" s="70" t="s">
        <v>135</v>
      </c>
      <c r="G46" s="70" t="s">
        <v>135</v>
      </c>
      <c r="J46" s="68"/>
      <c r="K46" s="101"/>
      <c r="L46" s="101"/>
      <c r="M46" s="84"/>
      <c r="N46" s="84"/>
      <c r="O46" s="84"/>
    </row>
    <row r="47" ht="15.75" customHeight="1">
      <c r="A47" s="34"/>
      <c r="B47" s="41" t="s">
        <v>169</v>
      </c>
      <c r="C47" s="34"/>
      <c r="D47" s="101">
        <v>9000.0</v>
      </c>
      <c r="E47" s="70" t="s">
        <v>135</v>
      </c>
      <c r="F47" s="70">
        <v>9000.0</v>
      </c>
      <c r="G47" s="70" t="s">
        <v>135</v>
      </c>
      <c r="J47" s="40"/>
      <c r="K47" s="101"/>
      <c r="L47" s="101"/>
      <c r="M47" s="84"/>
      <c r="N47" s="84"/>
      <c r="O47" s="84"/>
    </row>
    <row r="48" ht="15.75" customHeight="1">
      <c r="A48" s="40"/>
      <c r="B48" s="41" t="s">
        <v>171</v>
      </c>
      <c r="C48" s="40"/>
      <c r="D48" s="101">
        <v>9000.0</v>
      </c>
      <c r="E48" s="70" t="s">
        <v>135</v>
      </c>
      <c r="F48" s="70" t="s">
        <v>135</v>
      </c>
      <c r="G48" s="70">
        <v>9000.0</v>
      </c>
      <c r="J48" s="129"/>
      <c r="K48" s="101"/>
      <c r="L48" s="101"/>
      <c r="M48" s="84"/>
      <c r="N48" s="84"/>
      <c r="O48" s="84"/>
    </row>
    <row r="49" ht="15.75" customHeight="1">
      <c r="A49" s="135" t="s">
        <v>172</v>
      </c>
      <c r="B49" s="136" t="s">
        <v>174</v>
      </c>
      <c r="C49" s="135" t="s">
        <v>175</v>
      </c>
      <c r="D49" s="101">
        <v>400.0</v>
      </c>
      <c r="E49" s="70" t="s">
        <v>135</v>
      </c>
      <c r="F49" s="70" t="s">
        <v>135</v>
      </c>
      <c r="G49" s="70">
        <v>600.0</v>
      </c>
      <c r="J49" s="34"/>
      <c r="K49" s="101"/>
      <c r="L49" s="101"/>
      <c r="M49" s="84"/>
      <c r="N49" s="84"/>
      <c r="O49" s="84"/>
    </row>
    <row r="50" ht="15.75" customHeight="1">
      <c r="D50" s="101" t="s">
        <v>176</v>
      </c>
      <c r="E50" s="17">
        <f t="shared" ref="E50:G50" si="5">SUM(E29:E49)</f>
        <v>16586.66667</v>
      </c>
      <c r="F50" s="17">
        <f t="shared" si="5"/>
        <v>16186.66667</v>
      </c>
      <c r="G50" s="17">
        <f t="shared" si="5"/>
        <v>16786.66667</v>
      </c>
      <c r="J50" s="34"/>
      <c r="K50" s="101"/>
      <c r="L50" s="101"/>
      <c r="M50" s="84"/>
      <c r="N50" s="84"/>
      <c r="O50" s="84"/>
    </row>
    <row r="51" ht="15.75" customHeight="1">
      <c r="J51" s="40"/>
      <c r="K51" s="101"/>
      <c r="L51" s="101"/>
      <c r="M51" s="84"/>
      <c r="N51" s="84"/>
      <c r="O51" s="84"/>
    </row>
    <row r="52" ht="15.75" customHeight="1">
      <c r="D52" s="101">
        <f>SUM(D29:D49)/3</f>
        <v>16386.66667</v>
      </c>
      <c r="J52" s="135"/>
      <c r="K52" s="101"/>
      <c r="L52" s="101"/>
      <c r="M52" s="84"/>
      <c r="N52" s="84"/>
      <c r="O52" s="84"/>
    </row>
    <row r="53" ht="15.75" customHeight="1">
      <c r="F53" s="101">
        <f>G50/220</f>
        <v>76.3030303</v>
      </c>
      <c r="M53" s="102"/>
      <c r="N53" s="102"/>
      <c r="O53" s="102"/>
    </row>
    <row r="54" ht="15.75" customHeight="1">
      <c r="M54" s="102"/>
      <c r="N54" s="102"/>
      <c r="O54" s="102"/>
    </row>
    <row r="55" ht="15.75" customHeight="1">
      <c r="M55" s="102"/>
      <c r="N55" s="102"/>
      <c r="O55" s="102"/>
    </row>
    <row r="56" ht="15.75" customHeight="1">
      <c r="L56" s="101"/>
      <c r="M56" s="12"/>
      <c r="N56" s="12"/>
      <c r="O56" s="12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>
      <c r="L63" s="138"/>
      <c r="M63" s="48"/>
      <c r="N63" s="2"/>
      <c r="O63" s="3"/>
    </row>
    <row r="64" ht="15.75" customHeight="1">
      <c r="L64" s="138"/>
      <c r="M64" s="86"/>
      <c r="N64" s="86"/>
      <c r="O64" s="88"/>
    </row>
    <row r="65" ht="15.75" customHeight="1">
      <c r="L65" s="138"/>
      <c r="M65" s="86"/>
      <c r="N65" s="86"/>
      <c r="O65" s="86"/>
    </row>
    <row r="66" ht="15.75" customHeight="1">
      <c r="L66" s="138"/>
      <c r="M66" s="86"/>
      <c r="N66" s="86"/>
      <c r="O66" s="86"/>
    </row>
    <row r="67" ht="15.75" customHeight="1">
      <c r="L67" s="138"/>
      <c r="M67" s="86"/>
      <c r="N67" s="86"/>
      <c r="O67" s="86"/>
    </row>
    <row r="68" ht="15.75" customHeight="1">
      <c r="L68" s="138"/>
      <c r="M68" s="86"/>
      <c r="N68" s="86"/>
      <c r="O68" s="86"/>
    </row>
    <row r="69" ht="15.75" customHeight="1">
      <c r="L69" s="138"/>
      <c r="M69" s="86"/>
      <c r="N69" s="86"/>
      <c r="O69" s="86"/>
    </row>
    <row r="70" ht="15.75" customHeight="1">
      <c r="L70" s="142"/>
      <c r="M70" s="86"/>
      <c r="N70" s="86"/>
      <c r="O70" s="86"/>
    </row>
    <row r="71" ht="15.75" customHeight="1">
      <c r="L71" s="142"/>
      <c r="M71" s="86"/>
      <c r="N71" s="86"/>
      <c r="O71" s="86"/>
    </row>
    <row r="72" ht="15.75" customHeight="1">
      <c r="L72" s="142"/>
      <c r="M72" s="86"/>
      <c r="N72" s="86"/>
      <c r="O72" s="86"/>
    </row>
    <row r="73" ht="15.75" customHeight="1">
      <c r="L73" s="142"/>
      <c r="M73" s="86"/>
      <c r="N73" s="86"/>
      <c r="O73" s="86"/>
    </row>
    <row r="74" ht="15.75" customHeight="1">
      <c r="L74" s="142"/>
      <c r="M74" s="86"/>
      <c r="N74" s="86"/>
      <c r="O74" s="86"/>
    </row>
    <row r="75" ht="15.75" customHeight="1">
      <c r="L75" s="142"/>
      <c r="M75" s="86"/>
      <c r="N75" s="86"/>
      <c r="O75" s="86"/>
    </row>
    <row r="76" ht="15.75" customHeight="1">
      <c r="L76" s="142"/>
      <c r="M76" s="86"/>
      <c r="N76" s="86"/>
      <c r="O76" s="86"/>
    </row>
    <row r="77" ht="15.75" customHeight="1">
      <c r="L77" s="142"/>
      <c r="M77" s="86"/>
      <c r="N77" s="86"/>
      <c r="O77" s="86"/>
    </row>
    <row r="78" ht="15.75" customHeight="1">
      <c r="L78" s="142"/>
      <c r="M78" s="86"/>
      <c r="N78" s="86"/>
      <c r="O78" s="86"/>
    </row>
    <row r="79" ht="15.75" customHeight="1">
      <c r="L79" s="142"/>
      <c r="M79" s="86"/>
      <c r="N79" s="86"/>
      <c r="O79" s="86"/>
    </row>
    <row r="80" ht="15.75" customHeight="1">
      <c r="L80" s="142"/>
      <c r="M80" s="86"/>
      <c r="N80" s="86"/>
      <c r="O80" s="86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28">
    <mergeCell ref="E1:G1"/>
    <mergeCell ref="E27:G27"/>
    <mergeCell ref="A29:A30"/>
    <mergeCell ref="C29:C30"/>
    <mergeCell ref="A31:A32"/>
    <mergeCell ref="J32:J33"/>
    <mergeCell ref="A33:A34"/>
    <mergeCell ref="C39:C40"/>
    <mergeCell ref="C41:C42"/>
    <mergeCell ref="C45:C48"/>
    <mergeCell ref="A41:A44"/>
    <mergeCell ref="A45:A48"/>
    <mergeCell ref="C31:C32"/>
    <mergeCell ref="C33:C34"/>
    <mergeCell ref="A35:A38"/>
    <mergeCell ref="C35:C36"/>
    <mergeCell ref="C37:C38"/>
    <mergeCell ref="A39:A40"/>
    <mergeCell ref="C43:C44"/>
    <mergeCell ref="J48:J51"/>
    <mergeCell ref="M63:O63"/>
    <mergeCell ref="J34:J35"/>
    <mergeCell ref="J36:J37"/>
    <mergeCell ref="J38:J39"/>
    <mergeCell ref="J40:J41"/>
    <mergeCell ref="J42:J43"/>
    <mergeCell ref="J44:J45"/>
    <mergeCell ref="J46:J47"/>
  </mergeCells>
  <printOptions/>
  <pageMargins bottom="0.787401575" footer="0.0" header="0.0" left="0.511811024" right="0.511811024" top="0.787401575"/>
  <pageSetup orientation="landscape"/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1.22" defaultRowHeight="15.0"/>
  <cols>
    <col customWidth="1" min="1" max="1" width="5.78"/>
    <col customWidth="1" min="2" max="2" width="14.44"/>
    <col customWidth="1" min="3" max="3" width="9.67"/>
    <col customWidth="1" min="4" max="6" width="15.0"/>
    <col customWidth="1" min="7" max="7" width="14.89"/>
    <col customWidth="1" min="10" max="10" width="15.33"/>
  </cols>
  <sheetData>
    <row r="1" ht="15.75" customHeight="1">
      <c r="A1" s="152" t="s">
        <v>22</v>
      </c>
      <c r="B1" s="152" t="s">
        <v>192</v>
      </c>
      <c r="C1" s="152" t="s">
        <v>193</v>
      </c>
      <c r="D1" s="152"/>
      <c r="E1" s="152" t="s">
        <v>194</v>
      </c>
      <c r="F1" s="152" t="s">
        <v>195</v>
      </c>
      <c r="H1" s="113"/>
      <c r="I1" s="153" t="s">
        <v>3</v>
      </c>
      <c r="J1" s="153" t="s">
        <v>4</v>
      </c>
      <c r="K1" s="153" t="s">
        <v>5</v>
      </c>
      <c r="L1" s="153" t="s">
        <v>197</v>
      </c>
      <c r="S1" s="11"/>
      <c r="T1" s="2"/>
      <c r="U1" s="2"/>
    </row>
    <row r="2" ht="15.75" customHeight="1">
      <c r="A2" s="154" t="s">
        <v>38</v>
      </c>
      <c r="B2" s="155">
        <f t="shared" ref="B2:B5" si="1">L3/C2</f>
        <v>6.136363636</v>
      </c>
      <c r="C2" s="154">
        <v>220.0</v>
      </c>
      <c r="D2" s="156">
        <v>-18.19</v>
      </c>
      <c r="E2" s="156">
        <v>13.0</v>
      </c>
      <c r="F2" s="157" t="s">
        <v>26</v>
      </c>
      <c r="H2" s="113"/>
      <c r="I2" s="13"/>
      <c r="J2" s="13"/>
      <c r="K2" s="13"/>
      <c r="L2" s="13"/>
      <c r="S2" s="14"/>
      <c r="T2" s="14"/>
      <c r="U2" s="15"/>
    </row>
    <row r="3" ht="15.75" customHeight="1">
      <c r="A3" s="154" t="s">
        <v>47</v>
      </c>
      <c r="B3" s="155">
        <f t="shared" si="1"/>
        <v>5.272727273</v>
      </c>
      <c r="C3" s="154">
        <v>220.0</v>
      </c>
      <c r="D3" s="156">
        <v>-18.19</v>
      </c>
      <c r="E3" s="156">
        <v>13.0</v>
      </c>
      <c r="F3" s="157" t="s">
        <v>26</v>
      </c>
      <c r="H3" s="113"/>
      <c r="I3" s="94" t="s">
        <v>38</v>
      </c>
      <c r="J3" s="158" t="s">
        <v>206</v>
      </c>
      <c r="K3" s="158">
        <v>10.0</v>
      </c>
      <c r="L3" s="94">
        <f t="shared" ref="L3:L6" si="2">Q3</f>
        <v>1350</v>
      </c>
      <c r="N3" s="101" t="s">
        <v>38</v>
      </c>
      <c r="O3" s="101" t="s">
        <v>39</v>
      </c>
      <c r="P3" s="101" t="s">
        <v>40</v>
      </c>
      <c r="Q3" s="101">
        <f>QDL!I3</f>
        <v>1350</v>
      </c>
      <c r="R3" s="106">
        <f>QDL!K3</f>
        <v>0.95</v>
      </c>
      <c r="S3" s="70"/>
      <c r="T3" s="70"/>
      <c r="U3" s="70"/>
    </row>
    <row r="4" ht="15.75" customHeight="1">
      <c r="A4" s="154" t="s">
        <v>59</v>
      </c>
      <c r="B4" s="155">
        <f t="shared" si="1"/>
        <v>7.909090909</v>
      </c>
      <c r="C4" s="154">
        <v>220.0</v>
      </c>
      <c r="D4" s="156">
        <v>-18.19</v>
      </c>
      <c r="E4" s="156">
        <v>13.0</v>
      </c>
      <c r="F4" s="157" t="s">
        <v>26</v>
      </c>
      <c r="H4" s="113"/>
      <c r="I4" s="94" t="s">
        <v>47</v>
      </c>
      <c r="J4" s="158" t="s">
        <v>206</v>
      </c>
      <c r="K4" s="158">
        <v>10.0</v>
      </c>
      <c r="L4" s="94">
        <f t="shared" si="2"/>
        <v>1160</v>
      </c>
      <c r="N4" s="101" t="s">
        <v>47</v>
      </c>
      <c r="O4" s="101" t="s">
        <v>48</v>
      </c>
      <c r="P4" s="101" t="s">
        <v>50</v>
      </c>
      <c r="Q4" s="101">
        <f>QDL!I4</f>
        <v>1160</v>
      </c>
      <c r="R4" s="106">
        <f>QDL!K4</f>
        <v>0.95</v>
      </c>
      <c r="S4" s="70"/>
      <c r="T4" s="70"/>
      <c r="U4" s="70"/>
    </row>
    <row r="5" ht="15.75" customHeight="1">
      <c r="A5" s="154" t="s">
        <v>63</v>
      </c>
      <c r="B5" s="155">
        <f t="shared" si="1"/>
        <v>7.909090909</v>
      </c>
      <c r="C5" s="154">
        <v>220.0</v>
      </c>
      <c r="D5" s="156">
        <v>-18.19</v>
      </c>
      <c r="E5" s="156">
        <v>13.0</v>
      </c>
      <c r="F5" s="157" t="s">
        <v>26</v>
      </c>
      <c r="H5" s="113"/>
      <c r="I5" s="94" t="s">
        <v>59</v>
      </c>
      <c r="J5" s="158" t="s">
        <v>206</v>
      </c>
      <c r="K5" s="158">
        <v>10.0</v>
      </c>
      <c r="L5" s="94">
        <f t="shared" si="2"/>
        <v>1740</v>
      </c>
      <c r="N5" s="101" t="s">
        <v>59</v>
      </c>
      <c r="O5" s="101" t="s">
        <v>60</v>
      </c>
      <c r="P5" s="101" t="s">
        <v>61</v>
      </c>
      <c r="Q5" s="101">
        <f>QDL!I5</f>
        <v>1740</v>
      </c>
      <c r="R5" s="106">
        <f>QDL!K5</f>
        <v>0.95</v>
      </c>
      <c r="S5" s="70"/>
      <c r="T5" s="70"/>
      <c r="U5" s="70"/>
    </row>
    <row r="6" ht="15.75" customHeight="1">
      <c r="A6" s="154" t="s">
        <v>66</v>
      </c>
      <c r="B6" s="155">
        <f>L7/(sqrt(3)*C6)</f>
        <v>84.59700786</v>
      </c>
      <c r="C6" s="166">
        <v>380.0</v>
      </c>
      <c r="D6" s="156">
        <v>-18.19</v>
      </c>
      <c r="E6" s="156">
        <v>13.0</v>
      </c>
      <c r="F6" s="157" t="s">
        <v>26</v>
      </c>
      <c r="H6" s="113"/>
      <c r="I6" s="94" t="s">
        <v>63</v>
      </c>
      <c r="J6" s="158" t="s">
        <v>206</v>
      </c>
      <c r="K6" s="158">
        <v>10.0</v>
      </c>
      <c r="L6" s="94">
        <f t="shared" si="2"/>
        <v>1740</v>
      </c>
      <c r="N6" s="101" t="s">
        <v>63</v>
      </c>
      <c r="O6" s="101" t="s">
        <v>64</v>
      </c>
      <c r="P6" s="101" t="s">
        <v>65</v>
      </c>
      <c r="Q6" s="101">
        <f>QDL!I6</f>
        <v>1740</v>
      </c>
      <c r="R6" s="106">
        <f>QDL!K6</f>
        <v>0.95</v>
      </c>
      <c r="S6" s="70"/>
      <c r="T6" s="70"/>
      <c r="U6" s="70"/>
    </row>
    <row r="7" ht="15.75" customHeight="1">
      <c r="A7" s="154" t="s">
        <v>90</v>
      </c>
      <c r="B7" s="155">
        <f t="shared" ref="B7:B9" si="3">L8/C7</f>
        <v>1.636363636</v>
      </c>
      <c r="C7" s="166">
        <v>220.0</v>
      </c>
      <c r="D7" s="156">
        <v>-11.48</v>
      </c>
      <c r="E7" s="156">
        <v>13.0</v>
      </c>
      <c r="F7" s="157" t="s">
        <v>26</v>
      </c>
      <c r="H7" s="113"/>
      <c r="I7" s="94" t="s">
        <v>66</v>
      </c>
      <c r="J7" s="168" t="s">
        <v>214</v>
      </c>
      <c r="K7" s="158">
        <v>100.0</v>
      </c>
      <c r="L7" s="158">
        <f>SUM(Q7:Q20)</f>
        <v>55680</v>
      </c>
      <c r="N7" s="101" t="s">
        <v>66</v>
      </c>
      <c r="O7" s="101" t="s">
        <v>67</v>
      </c>
      <c r="P7" s="101" t="s">
        <v>68</v>
      </c>
      <c r="Q7" s="120">
        <f>QDL!I7</f>
        <v>4400</v>
      </c>
      <c r="R7" s="106">
        <f>QDL!K7</f>
        <v>0.95</v>
      </c>
      <c r="S7" s="70"/>
      <c r="T7" s="70"/>
      <c r="U7" s="70"/>
    </row>
    <row r="8" ht="15.75" customHeight="1">
      <c r="A8" s="154" t="s">
        <v>94</v>
      </c>
      <c r="B8" s="155">
        <f t="shared" si="3"/>
        <v>9</v>
      </c>
      <c r="C8" s="166">
        <v>220.0</v>
      </c>
      <c r="D8" s="156">
        <v>-11.48</v>
      </c>
      <c r="E8" s="156">
        <v>13.0</v>
      </c>
      <c r="F8" s="157" t="s">
        <v>26</v>
      </c>
      <c r="H8" s="113"/>
      <c r="I8" s="94" t="s">
        <v>90</v>
      </c>
      <c r="J8" s="158" t="s">
        <v>206</v>
      </c>
      <c r="K8" s="158">
        <v>10.0</v>
      </c>
      <c r="L8" s="94">
        <f>Q21</f>
        <v>360</v>
      </c>
      <c r="O8" s="101" t="s">
        <v>70</v>
      </c>
      <c r="P8" s="101" t="s">
        <v>68</v>
      </c>
      <c r="Q8" s="120">
        <f>QDL!I8</f>
        <v>4400</v>
      </c>
      <c r="R8" s="106">
        <f>QDL!K8</f>
        <v>0.95</v>
      </c>
      <c r="S8" s="70"/>
      <c r="T8" s="70"/>
      <c r="U8" s="70"/>
    </row>
    <row r="9" ht="15.75" customHeight="1">
      <c r="A9" s="169" t="s">
        <v>100</v>
      </c>
      <c r="B9" s="170">
        <f t="shared" si="3"/>
        <v>0.8181818182</v>
      </c>
      <c r="C9" s="169">
        <v>220.0</v>
      </c>
      <c r="D9" s="156">
        <v>-11.48</v>
      </c>
      <c r="E9" s="156">
        <v>13.0</v>
      </c>
      <c r="F9" s="157" t="s">
        <v>26</v>
      </c>
      <c r="H9" s="113"/>
      <c r="I9" s="94" t="s">
        <v>94</v>
      </c>
      <c r="J9" s="158" t="s">
        <v>216</v>
      </c>
      <c r="K9" s="158">
        <v>10.0</v>
      </c>
      <c r="L9" s="158">
        <f>SUM(Q22:Q23)</f>
        <v>1980</v>
      </c>
      <c r="O9" s="101" t="s">
        <v>71</v>
      </c>
      <c r="P9" s="101" t="s">
        <v>68</v>
      </c>
      <c r="Q9" s="120">
        <f>QDL!I9</f>
        <v>4400</v>
      </c>
      <c r="R9" s="106">
        <f>QDL!K9</f>
        <v>0.95</v>
      </c>
      <c r="S9" s="70"/>
      <c r="T9" s="70"/>
      <c r="U9" s="70"/>
    </row>
    <row r="10" ht="15.75" customHeight="1">
      <c r="A10" s="172"/>
      <c r="B10" s="113"/>
      <c r="C10" s="113"/>
      <c r="D10" s="113"/>
      <c r="E10" s="113"/>
      <c r="F10" s="113"/>
      <c r="G10" s="113"/>
      <c r="H10" s="113"/>
      <c r="I10" s="175" t="s">
        <v>100</v>
      </c>
      <c r="J10" s="176" t="s">
        <v>206</v>
      </c>
      <c r="K10" s="176">
        <v>10.0</v>
      </c>
      <c r="L10" s="175">
        <f>Q24</f>
        <v>180</v>
      </c>
      <c r="O10" s="101" t="s">
        <v>72</v>
      </c>
      <c r="P10" s="101" t="s">
        <v>68</v>
      </c>
      <c r="Q10" s="120">
        <f>QDL!I10</f>
        <v>4400</v>
      </c>
      <c r="R10" s="106">
        <f>QDL!K10</f>
        <v>0.95</v>
      </c>
      <c r="S10" s="70"/>
      <c r="T10" s="70"/>
      <c r="U10" s="70"/>
    </row>
    <row r="11" ht="15.75" customHeight="1">
      <c r="A11" s="172"/>
      <c r="B11" s="172"/>
      <c r="C11" s="113"/>
      <c r="D11" s="113"/>
      <c r="E11" s="113"/>
      <c r="F11" s="113"/>
      <c r="G11" s="113"/>
      <c r="H11" s="113"/>
      <c r="I11" s="178" t="s">
        <v>217</v>
      </c>
      <c r="J11" s="23"/>
      <c r="K11" s="179"/>
      <c r="L11" s="180">
        <f>SUM(L3:L10)</f>
        <v>64190</v>
      </c>
      <c r="M11" s="101"/>
      <c r="O11" s="101" t="s">
        <v>73</v>
      </c>
      <c r="P11" s="101" t="s">
        <v>68</v>
      </c>
      <c r="Q11" s="120">
        <f>QDL!I11</f>
        <v>4400</v>
      </c>
      <c r="R11" s="106">
        <f>QDL!K11</f>
        <v>0.95</v>
      </c>
      <c r="S11" s="17"/>
      <c r="T11" s="17"/>
      <c r="U11" s="17"/>
    </row>
    <row r="12" ht="15.75" customHeight="1">
      <c r="A12" s="181"/>
      <c r="I12" s="101" t="s">
        <v>218</v>
      </c>
      <c r="L12" s="130">
        <f>'BALANÇO TOTAL'!G26</f>
        <v>21396.66667</v>
      </c>
      <c r="O12" s="101" t="s">
        <v>74</v>
      </c>
      <c r="P12" s="101" t="s">
        <v>68</v>
      </c>
      <c r="Q12" s="120">
        <f>QDL!I12</f>
        <v>4400</v>
      </c>
      <c r="R12" s="106">
        <f>QDL!K12</f>
        <v>0.95</v>
      </c>
      <c r="S12" s="113"/>
      <c r="T12" s="113"/>
      <c r="U12" s="113"/>
    </row>
    <row r="13" ht="15.75" customHeight="1">
      <c r="A13" s="181"/>
      <c r="I13" s="130" t="s">
        <v>219</v>
      </c>
      <c r="L13" s="101">
        <f>L12</f>
        <v>21396.66667</v>
      </c>
      <c r="O13" s="101" t="s">
        <v>75</v>
      </c>
      <c r="P13" s="101" t="s">
        <v>68</v>
      </c>
      <c r="Q13" s="120">
        <f>QDL!I13</f>
        <v>4400</v>
      </c>
      <c r="R13" s="106">
        <f>QDL!K13</f>
        <v>0.95</v>
      </c>
    </row>
    <row r="14" ht="15.75" customHeight="1">
      <c r="I14" s="101" t="s">
        <v>220</v>
      </c>
      <c r="L14" s="101">
        <f>L12</f>
        <v>21396.66667</v>
      </c>
      <c r="O14" s="101" t="s">
        <v>77</v>
      </c>
      <c r="P14" s="101" t="s">
        <v>68</v>
      </c>
      <c r="Q14" s="120">
        <f>QDL!I14</f>
        <v>4400</v>
      </c>
      <c r="R14" s="106">
        <f>QDL!K14</f>
        <v>0.95</v>
      </c>
    </row>
    <row r="15" ht="15.75" customHeight="1">
      <c r="I15" s="182" t="s">
        <v>217</v>
      </c>
      <c r="J15" s="2"/>
      <c r="K15" s="3"/>
      <c r="L15" s="183">
        <f>SUM(L11:L14)</f>
        <v>128380</v>
      </c>
      <c r="O15" s="101" t="s">
        <v>79</v>
      </c>
      <c r="P15" s="101" t="s">
        <v>68</v>
      </c>
      <c r="Q15" s="101">
        <f>QDL!I15</f>
        <v>4400</v>
      </c>
      <c r="R15" s="106">
        <f>QDL!K15</f>
        <v>0.95</v>
      </c>
    </row>
    <row r="16" ht="15.75" customHeight="1">
      <c r="A16" s="181"/>
      <c r="O16" s="101" t="s">
        <v>80</v>
      </c>
      <c r="P16" s="101" t="s">
        <v>68</v>
      </c>
      <c r="Q16" s="101">
        <f>QDL!I16</f>
        <v>4400</v>
      </c>
      <c r="R16" s="106">
        <f>QDL!K16</f>
        <v>0.95</v>
      </c>
    </row>
    <row r="17" ht="15.75" customHeight="1">
      <c r="O17" s="101" t="s">
        <v>82</v>
      </c>
      <c r="P17" s="101" t="s">
        <v>68</v>
      </c>
      <c r="Q17" s="101">
        <f>QDL!I17</f>
        <v>4400</v>
      </c>
      <c r="R17" s="106">
        <f>QDL!K17</f>
        <v>0.95</v>
      </c>
    </row>
    <row r="18" ht="15.75" customHeight="1">
      <c r="O18" s="101" t="s">
        <v>84</v>
      </c>
      <c r="P18" s="101" t="s">
        <v>68</v>
      </c>
      <c r="Q18" s="101">
        <f>QDL!I18</f>
        <v>2640</v>
      </c>
      <c r="R18" s="106">
        <f>QDL!K18</f>
        <v>0.95</v>
      </c>
    </row>
    <row r="19" ht="15.75" customHeight="1">
      <c r="O19" s="101" t="s">
        <v>85</v>
      </c>
      <c r="P19" s="101" t="s">
        <v>86</v>
      </c>
      <c r="Q19" s="101">
        <f>QDL!I19</f>
        <v>2320</v>
      </c>
      <c r="R19" s="106">
        <f>QDL!K19</f>
        <v>0.95</v>
      </c>
    </row>
    <row r="20" ht="15.75" customHeight="1">
      <c r="B20" s="101" t="s">
        <v>222</v>
      </c>
      <c r="N20" s="101"/>
      <c r="O20" s="101" t="s">
        <v>87</v>
      </c>
      <c r="P20" s="101" t="s">
        <v>86</v>
      </c>
      <c r="Q20" s="101">
        <f>QDL!I20</f>
        <v>2320</v>
      </c>
      <c r="R20" s="106">
        <f>QDL!K20</f>
        <v>0.95</v>
      </c>
    </row>
    <row r="21" ht="15.75" customHeight="1">
      <c r="B21" s="184" t="s">
        <v>116</v>
      </c>
      <c r="C21" s="184" t="s">
        <v>44</v>
      </c>
      <c r="D21" s="184"/>
      <c r="E21" s="184"/>
      <c r="F21" s="184" t="s">
        <v>45</v>
      </c>
      <c r="G21" s="184" t="s">
        <v>46</v>
      </c>
      <c r="H21" s="184" t="s">
        <v>49</v>
      </c>
      <c r="I21" s="184" t="s">
        <v>51</v>
      </c>
      <c r="J21" s="185" t="s">
        <v>178</v>
      </c>
      <c r="K21" s="185" t="s">
        <v>179</v>
      </c>
      <c r="L21" s="185" t="s">
        <v>180</v>
      </c>
      <c r="N21" s="101" t="s">
        <v>90</v>
      </c>
      <c r="O21" s="101" t="s">
        <v>91</v>
      </c>
      <c r="P21" s="101" t="s">
        <v>92</v>
      </c>
      <c r="Q21" s="101">
        <f>QDL!I21</f>
        <v>360</v>
      </c>
      <c r="R21" s="106">
        <f>QDL!K21</f>
        <v>0.98</v>
      </c>
    </row>
    <row r="22" ht="15.75" customHeight="1">
      <c r="B22" s="186" t="s">
        <v>224</v>
      </c>
      <c r="C22" s="187">
        <f>B7</f>
        <v>1.636363636</v>
      </c>
      <c r="D22" s="188"/>
      <c r="E22" s="188"/>
      <c r="F22" s="188">
        <v>127.0</v>
      </c>
      <c r="G22" s="186">
        <f>14.8137*10^-3</f>
        <v>0.0148137</v>
      </c>
      <c r="H22" s="186">
        <f>0.1378*10^-3</f>
        <v>0.0001378</v>
      </c>
      <c r="I22" s="186">
        <v>0.92</v>
      </c>
      <c r="J22" s="186">
        <f>2*C22*F22*(G22*I22+H22*SIN(ACOS(I22)))</f>
        <v>5.686990411</v>
      </c>
      <c r="K22" s="190">
        <f>J22/380</f>
        <v>0.01496576424</v>
      </c>
      <c r="L22" s="190">
        <f>K22</f>
        <v>0.01496576424</v>
      </c>
      <c r="N22" s="101" t="s">
        <v>94</v>
      </c>
      <c r="O22" s="101" t="s">
        <v>95</v>
      </c>
      <c r="P22" s="101" t="s">
        <v>96</v>
      </c>
      <c r="Q22" s="101">
        <f>QDL!I22</f>
        <v>540</v>
      </c>
      <c r="R22" s="106">
        <f>QDL!K22</f>
        <v>0.98</v>
      </c>
    </row>
    <row r="23" ht="15.75" customHeight="1">
      <c r="B23" s="94"/>
      <c r="C23" s="158"/>
      <c r="D23" s="158"/>
      <c r="E23" s="158"/>
      <c r="F23" s="158"/>
      <c r="G23" s="94"/>
      <c r="L23" s="113"/>
      <c r="M23" s="113"/>
      <c r="O23" s="101" t="s">
        <v>98</v>
      </c>
      <c r="P23" s="101" t="s">
        <v>99</v>
      </c>
      <c r="Q23" s="101">
        <f>QDL!I23</f>
        <v>1440</v>
      </c>
      <c r="R23" s="106">
        <f>QDL!K23</f>
        <v>0.98</v>
      </c>
    </row>
    <row r="24">
      <c r="B24" s="191" t="s">
        <v>22</v>
      </c>
      <c r="C24" s="192" t="s">
        <v>108</v>
      </c>
      <c r="D24" s="192"/>
      <c r="E24" s="192"/>
      <c r="F24" s="193" t="s">
        <v>225</v>
      </c>
      <c r="G24" s="194" t="s">
        <v>110</v>
      </c>
      <c r="H24" s="193" t="s">
        <v>111</v>
      </c>
      <c r="I24" s="195" t="s">
        <v>192</v>
      </c>
      <c r="J24" s="196" t="s">
        <v>112</v>
      </c>
      <c r="K24" s="193" t="s">
        <v>113</v>
      </c>
      <c r="L24" s="196" t="s">
        <v>226</v>
      </c>
      <c r="N24" s="101" t="s">
        <v>100</v>
      </c>
      <c r="O24" s="101" t="s">
        <v>101</v>
      </c>
      <c r="P24" s="101" t="s">
        <v>102</v>
      </c>
      <c r="Q24" s="101">
        <f>QDL!I24</f>
        <v>180</v>
      </c>
      <c r="R24" s="106">
        <f>QDL!K24</f>
        <v>0.98</v>
      </c>
    </row>
    <row r="25" ht="15.75" customHeight="1">
      <c r="B25" s="197" t="s">
        <v>227</v>
      </c>
      <c r="C25" s="198">
        <v>1.0</v>
      </c>
      <c r="D25" s="198"/>
      <c r="E25" s="198"/>
      <c r="F25" s="41">
        <f t="array" ref="F25">INDEX('Dados de Entrada'!$A$10:$C$11,2,MATCH(H25,'Dados de Entrada'!$A$10:$C$10,0))</f>
        <v>0.87</v>
      </c>
      <c r="G25" s="41">
        <v>1.05</v>
      </c>
      <c r="H25" s="41" t="s">
        <v>11</v>
      </c>
      <c r="I25" s="199">
        <f>B30</f>
        <v>32.81780477</v>
      </c>
      <c r="J25" s="200">
        <f>(I25*G25)/(F25*C25)</f>
        <v>39.60769542</v>
      </c>
      <c r="K25" s="105">
        <v>144.0</v>
      </c>
      <c r="L25" s="101">
        <f>K25*F25*C25</f>
        <v>125.28</v>
      </c>
      <c r="N25" s="113"/>
    </row>
    <row r="26" ht="15.75" customHeight="1">
      <c r="B26" s="94"/>
      <c r="C26" s="158"/>
      <c r="D26" s="158"/>
      <c r="E26" s="158"/>
      <c r="F26" s="158"/>
      <c r="G26" s="158"/>
      <c r="L26" s="113"/>
      <c r="M26" s="201"/>
      <c r="N26" s="113"/>
    </row>
    <row r="27" ht="15.75" customHeight="1">
      <c r="B27" s="94"/>
      <c r="C27" s="158"/>
      <c r="D27" s="158"/>
      <c r="E27" s="158"/>
      <c r="F27" s="158"/>
      <c r="G27" s="94"/>
      <c r="L27" s="113"/>
      <c r="M27" s="201"/>
      <c r="N27" s="113"/>
    </row>
    <row r="28" ht="15.75" customHeight="1">
      <c r="B28" s="203">
        <f>'BALANÇO TOTAL'!F25</f>
        <v>21600</v>
      </c>
      <c r="C28" s="203" t="s">
        <v>230</v>
      </c>
      <c r="D28" s="158"/>
      <c r="E28" s="158"/>
      <c r="F28" s="158"/>
      <c r="G28" s="158"/>
      <c r="L28" s="113"/>
      <c r="M28" s="201"/>
      <c r="N28" s="113"/>
    </row>
    <row r="29" ht="15.75" customHeight="1">
      <c r="B29" s="203">
        <f>380*SQRT(3)</f>
        <v>658.1793069</v>
      </c>
      <c r="C29" s="203"/>
      <c r="D29" s="158"/>
      <c r="E29" s="158"/>
      <c r="F29" s="158"/>
      <c r="G29" s="94"/>
      <c r="L29" s="113"/>
      <c r="M29" s="201"/>
      <c r="N29" s="113"/>
    </row>
    <row r="30" ht="15.75" customHeight="1">
      <c r="B30" s="205">
        <f>B28/B29</f>
        <v>32.81780477</v>
      </c>
      <c r="C30" s="205"/>
      <c r="G30" s="101" t="s">
        <v>232</v>
      </c>
      <c r="L30" s="113"/>
      <c r="M30" s="201"/>
      <c r="N30" s="113"/>
    </row>
    <row r="31" ht="15.75" customHeight="1">
      <c r="L31" s="113"/>
      <c r="M31" s="201"/>
      <c r="N31" s="113"/>
    </row>
    <row r="32" ht="15.75" customHeight="1">
      <c r="L32" s="113"/>
      <c r="M32" s="201"/>
      <c r="N32" s="113"/>
    </row>
    <row r="33" ht="15.75" customHeight="1">
      <c r="B33" s="207"/>
      <c r="C33" s="47"/>
      <c r="D33" s="47"/>
      <c r="E33" s="47"/>
      <c r="F33" s="47"/>
      <c r="G33" s="208"/>
      <c r="L33" s="113"/>
      <c r="M33" s="201"/>
      <c r="N33" s="113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I1:I2"/>
    <mergeCell ref="J1:J2"/>
    <mergeCell ref="K1:K2"/>
    <mergeCell ref="L1:L2"/>
    <mergeCell ref="S1:U1"/>
    <mergeCell ref="I11:K11"/>
    <mergeCell ref="I15:K15"/>
    <mergeCell ref="B33:F33"/>
  </mergeCells>
  <dataValidations>
    <dataValidation type="list" allowBlank="1" showErrorMessage="1" sqref="H25">
      <formula1>"EPR ou XLPE,PVC"</formula1>
    </dataValidation>
  </dataValidations>
  <printOptions/>
  <pageMargins bottom="0.787401575" footer="0.0" header="0.0" left="0.511811024" right="0.511811024" top="0.787401575"/>
  <pageSetup orientation="landscape"/>
  <drawing r:id="rId1"/>
  <tableParts count="4">
    <tablePart r:id="rId6"/>
    <tablePart r:id="rId7"/>
    <tablePart r:id="rId8"/>
    <tablePart r:id="rId9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1" width="12.22"/>
    <col hidden="1" min="2" max="3" width="11.22"/>
    <col customWidth="1" min="8" max="8" width="14.11"/>
  </cols>
  <sheetData>
    <row r="1" ht="15.75" customHeight="1">
      <c r="A1" s="4" t="s">
        <v>198</v>
      </c>
      <c r="B1" s="4" t="s">
        <v>199</v>
      </c>
      <c r="C1" s="4" t="s">
        <v>200</v>
      </c>
      <c r="D1" s="4" t="s">
        <v>201</v>
      </c>
      <c r="E1" s="4"/>
      <c r="F1" s="16" t="s">
        <v>202</v>
      </c>
      <c r="G1" s="4" t="s">
        <v>203</v>
      </c>
      <c r="H1" s="4" t="s">
        <v>204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94" t="s">
        <v>40</v>
      </c>
      <c r="B2" s="4">
        <v>9.6</v>
      </c>
      <c r="C2" s="4">
        <v>9.8</v>
      </c>
      <c r="D2" s="4">
        <f t="shared" ref="D2:D11" si="1">(2*B2)+(C2*2)</f>
        <v>38.8</v>
      </c>
      <c r="E2" s="4">
        <f t="shared" ref="E2:E11" si="2">D2/5</f>
        <v>7.76</v>
      </c>
      <c r="F2" s="4">
        <f t="shared" ref="F2:F11" si="3">ROUNDUP(D2/5,0)</f>
        <v>8</v>
      </c>
      <c r="G2" s="4">
        <f t="shared" ref="G2:G11" si="4">F2*100</f>
        <v>800</v>
      </c>
      <c r="H2" s="4" t="s">
        <v>135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94" t="s">
        <v>50</v>
      </c>
      <c r="B3" s="4">
        <v>9.6</v>
      </c>
      <c r="C3" s="4">
        <v>15.92</v>
      </c>
      <c r="D3" s="4">
        <f t="shared" si="1"/>
        <v>51.04</v>
      </c>
      <c r="E3" s="4">
        <f t="shared" si="2"/>
        <v>10.208</v>
      </c>
      <c r="F3" s="4">
        <f t="shared" si="3"/>
        <v>11</v>
      </c>
      <c r="G3" s="4">
        <f t="shared" si="4"/>
        <v>1100</v>
      </c>
      <c r="H3" s="4" t="s">
        <v>207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94" t="s">
        <v>61</v>
      </c>
      <c r="B4" s="4">
        <v>9.6</v>
      </c>
      <c r="C4" s="4">
        <v>9.28</v>
      </c>
      <c r="D4" s="4">
        <f t="shared" si="1"/>
        <v>37.76</v>
      </c>
      <c r="E4" s="4">
        <f t="shared" si="2"/>
        <v>7.552</v>
      </c>
      <c r="F4" s="4">
        <f t="shared" si="3"/>
        <v>8</v>
      </c>
      <c r="G4" s="4">
        <f t="shared" si="4"/>
        <v>800</v>
      </c>
      <c r="H4" s="4" t="s">
        <v>207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161" t="s">
        <v>65</v>
      </c>
      <c r="B5" s="4">
        <v>38.51</v>
      </c>
      <c r="C5" s="4">
        <v>43.37</v>
      </c>
      <c r="D5" s="164">
        <f t="shared" si="1"/>
        <v>163.76</v>
      </c>
      <c r="E5" s="4">
        <f t="shared" si="2"/>
        <v>32.752</v>
      </c>
      <c r="F5" s="4">
        <f t="shared" si="3"/>
        <v>33</v>
      </c>
      <c r="G5" s="4">
        <f t="shared" si="4"/>
        <v>3300</v>
      </c>
      <c r="H5" s="4" t="s">
        <v>207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161" t="s">
        <v>68</v>
      </c>
      <c r="B6" s="4">
        <v>11.18</v>
      </c>
      <c r="C6" s="4">
        <v>15.8</v>
      </c>
      <c r="D6" s="164">
        <f t="shared" si="1"/>
        <v>53.96</v>
      </c>
      <c r="E6" s="4">
        <f t="shared" si="2"/>
        <v>10.792</v>
      </c>
      <c r="F6" s="4">
        <f t="shared" si="3"/>
        <v>11</v>
      </c>
      <c r="G6" s="4">
        <f t="shared" si="4"/>
        <v>1100</v>
      </c>
      <c r="H6" s="4" t="s">
        <v>207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161" t="s">
        <v>86</v>
      </c>
      <c r="B7" s="4">
        <v>30.92</v>
      </c>
      <c r="C7" s="4">
        <v>8.12</v>
      </c>
      <c r="D7" s="4">
        <f t="shared" si="1"/>
        <v>78.08</v>
      </c>
      <c r="E7" s="4">
        <f t="shared" si="2"/>
        <v>15.616</v>
      </c>
      <c r="F7" s="4">
        <f t="shared" si="3"/>
        <v>16</v>
      </c>
      <c r="G7" s="4">
        <f t="shared" si="4"/>
        <v>1600</v>
      </c>
      <c r="H7" s="4" t="s">
        <v>207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94" t="s">
        <v>92</v>
      </c>
      <c r="B8" s="4">
        <v>6.0</v>
      </c>
      <c r="C8" s="4">
        <v>8.12</v>
      </c>
      <c r="D8" s="4">
        <f t="shared" si="1"/>
        <v>28.24</v>
      </c>
      <c r="E8" s="4">
        <f t="shared" si="2"/>
        <v>5.648</v>
      </c>
      <c r="F8" s="4">
        <f t="shared" si="3"/>
        <v>6</v>
      </c>
      <c r="G8" s="4">
        <f t="shared" si="4"/>
        <v>600</v>
      </c>
      <c r="H8" s="4" t="s">
        <v>210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161" t="s">
        <v>96</v>
      </c>
      <c r="B9" s="4">
        <v>6.0</v>
      </c>
      <c r="C9" s="4">
        <v>5.0</v>
      </c>
      <c r="D9" s="4">
        <f t="shared" si="1"/>
        <v>22</v>
      </c>
      <c r="E9" s="4">
        <f t="shared" si="2"/>
        <v>4.4</v>
      </c>
      <c r="F9" s="4">
        <f t="shared" si="3"/>
        <v>5</v>
      </c>
      <c r="G9" s="4">
        <f t="shared" si="4"/>
        <v>500</v>
      </c>
      <c r="H9" s="4" t="s">
        <v>211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161" t="s">
        <v>99</v>
      </c>
      <c r="B10" s="4">
        <v>6.0</v>
      </c>
      <c r="C10" s="4">
        <v>5.0</v>
      </c>
      <c r="D10" s="4">
        <f t="shared" si="1"/>
        <v>22</v>
      </c>
      <c r="E10" s="4">
        <f t="shared" si="2"/>
        <v>4.4</v>
      </c>
      <c r="F10" s="4">
        <f t="shared" si="3"/>
        <v>5</v>
      </c>
      <c r="G10" s="4">
        <f t="shared" si="4"/>
        <v>500</v>
      </c>
      <c r="H10" s="4" t="s">
        <v>213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94" t="s">
        <v>102</v>
      </c>
      <c r="B11" s="4">
        <v>3.5</v>
      </c>
      <c r="C11" s="4">
        <v>5.23</v>
      </c>
      <c r="D11" s="4">
        <f t="shared" si="1"/>
        <v>17.46</v>
      </c>
      <c r="E11" s="4">
        <f t="shared" si="2"/>
        <v>3.492</v>
      </c>
      <c r="F11" s="4">
        <f t="shared" si="3"/>
        <v>4</v>
      </c>
      <c r="G11" s="4">
        <f t="shared" si="4"/>
        <v>400</v>
      </c>
      <c r="H11" s="4" t="s">
        <v>215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