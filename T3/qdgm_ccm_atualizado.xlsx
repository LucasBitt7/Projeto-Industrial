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60cc85546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Processos" sheetId="1" r:id="R81e08c60ecc1460e"/>
    <x:sheet xmlns:r="http://schemas.openxmlformats.org/officeDocument/2006/relationships" name="Resumo CCM" sheetId="2" r:id="R65a620fe02da4ea2"/>
    <x:sheet xmlns:r="http://schemas.openxmlformats.org/officeDocument/2006/relationships" name="Auditoria Fontes" sheetId="3" r:id="Rfcb670aa6503478d"/>
    <x:sheet xmlns:r="http://schemas.openxmlformats.org/officeDocument/2006/relationships" name="Hierarquia" sheetId="4" r:id="R6e35efdbc91b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b/>
      <x:sz val="11"/>
      <x:color rgb="FF1F4E2C"/>
      <x:name val="Carlito"/>
    </x:font>
    <x:font>
      <x:b/>
      <x:sz val="11"/>
      <x:color rgb="FF9C57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8">
    <x:border/>
    <x:border/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200" fontId="4" fillId="5" borderId="8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200" fontId="4" fillId="5" borderId="16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DE9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DE9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0809a3a51e4b16" /><Relationship Type="http://schemas.openxmlformats.org/officeDocument/2006/relationships/theme" Target="/xl/theme/theme1.xml" Id="R490ee017817944e9" /><Relationship Type="http://schemas.openxmlformats.org/officeDocument/2006/relationships/sharedStrings" Target="/xl/sharedStrings.xml" Id="R37fe857bce8e4662" /><Relationship Type="http://schemas.openxmlformats.org/officeDocument/2006/relationships/worksheet" Target="/xl/worksheets/sheet1.xml" Id="R81e08c60ecc1460e" /><Relationship Type="http://schemas.openxmlformats.org/officeDocument/2006/relationships/worksheet" Target="/xl/worksheets/sheet2.xml" Id="R65a620fe02da4ea2" /><Relationship Type="http://schemas.openxmlformats.org/officeDocument/2006/relationships/worksheet" Target="/xl/worksheets/sheet3.xml" Id="Rfcb670aa6503478d" /><Relationship Type="http://schemas.openxmlformats.org/officeDocument/2006/relationships/worksheet" Target="/xl/worksheets/sheet4.xml" Id="R6e35efdbc91b46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0f7b0f3a214a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Potência física em CV por CCM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Área</c:v>
          </c:tx>
          <c:cat>
            <c:strRef>
              <c:f>'Resumo CCM'!$B$4:$B$9</c:f>
              <c:strCache>
                <c:ptCount val="0"/>
              </c:strCache>
            </c:strRef>
          </c:cat>
          <c:val>
            <c:numRef>
              <c:f>'Resumo CCM'!$C$4:$C$9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CV físico</c:v>
          </c:tx>
          <c:cat>
            <c:strRef>
              <c:f>'Resumo CCM'!$B$4:$B$9</c:f>
              <c:strCache>
                <c:ptCount val="0"/>
              </c:strCache>
            </c:strRef>
          </c:cat>
          <c:val>
            <c:numRef>
              <c:f>'Resumo CCM'!$D$4:$D$9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0f7b0f3a214a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zProcessos" displayName="MatrizProcessos" ref="A3:R28" headerRowCount="1" totalsRowCount="0" totalsRowShown="0">
  <x:tableColumns count="18">
    <x:tableColumn id="1" name="QDGM"/>
    <x:tableColumn id="2" name="CCM"/>
    <x:tableColumn id="3" name="Área"/>
    <x:tableColumn id="4" name="Processo"/>
    <x:tableColumn id="5" name="Qtd. quadros"/>
    <x:tableColumn id="6" name="Quadros"/>
    <x:tableColumn id="7" name="Potência / configuração no CAD"/>
    <x:tableColumn id="8" name="Informação de potência no PDF"/>
    <x:tableColumn id="9" name="Base consolidada"/>
    <x:tableColumn id="10" name="CV por quadro*"/>
    <x:tableColumn id="11" name="kW por quadro*"/>
    <x:tableColumn id="12" name="Total físico CV*"/>
    <x:tableColumn id="13" name="Total físico kW*"/>
    <x:tableColumn id="14" name="Titular / reserva"/>
    <x:tableColumn id="15" name="Acionamento e condições do PDF"/>
    <x:tableColumn id="16" name="Fonte"/>
    <x:tableColumn id="17" name="Divergência / observação"/>
    <x:tableColumn id="1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edf7447e1c4c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94f38b6834432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2" hidden="0" customWidth="1"/>
    <x:col min="4" max="4" width="9" hidden="0" customWidth="1"/>
    <x:col min="5" max="5" width="11" hidden="0" customWidth="1"/>
    <x:col min="6" max="6" width="25" hidden="0" customWidth="1"/>
    <x:col min="7" max="7" width="28" hidden="0" customWidth="1"/>
    <x:col min="8" max="8" width="31" hidden="0" customWidth="1"/>
    <x:col min="9" max="9" width="26" hidden="0" customWidth="1"/>
    <x:col min="10" max="10" width="12" hidden="0" customWidth="1"/>
    <x:col min="11" max="11" width="12" hidden="0" customWidth="1"/>
    <x:col min="12" max="12" width="13" hidden="0" customWidth="1"/>
    <x:col min="13" max="13" width="13" hidden="0" customWidth="1"/>
    <x:col min="14" max="14" width="24" hidden="0" customWidth="1"/>
    <x:col min="15" max="15" width="52" hidden="0" customWidth="1"/>
    <x:col min="16" max="16" width="24" hidden="0" customWidth="1"/>
    <x:col min="17" max="17" width="48" hidden="0" customWidth="1"/>
    <x:col min="18" max="18" width="11" hidden="0" customWidth="1"/>
  </x:cols>
  <x:sheetData>
    <x:row r="1" ht="30" customHeight="1">
      <x:c r="A1" s="5" t="str">
        <x:v>Matriz consolidada de processos - CAD + Dados iniciais do projeto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 ht="26.399999618530273" hidden="0" customHeight="1">
      <x:c r="A3" s="26" t="str">
        <x:v>QDGM</x:v>
      </x:c>
      <x:c r="B3" s="27" t="str">
        <x:v>CCM</x:v>
      </x:c>
      <x:c r="C3" s="27" t="str">
        <x:v>Área</x:v>
      </x:c>
      <x:c r="D3" s="27" t="str">
        <x:v>Processo</x:v>
      </x:c>
      <x:c r="E3" s="27" t="str">
        <x:v>Qtd. quadros</x:v>
      </x:c>
      <x:c r="F3" s="27" t="str">
        <x:v>Quadros</x:v>
      </x:c>
      <x:c r="G3" s="27" t="str">
        <x:v>Potência / configuração no CAD</x:v>
      </x:c>
      <x:c r="H3" s="27" t="str">
        <x:v>Informação de potência no PDF</x:v>
      </x:c>
      <x:c r="I3" s="27" t="str">
        <x:v>Base consolidada</x:v>
      </x:c>
      <x:c r="J3" s="27" t="str">
        <x:v>CV por quadro*</x:v>
      </x:c>
      <x:c r="K3" s="27" t="str">
        <x:v>kW por quadro*</x:v>
      </x:c>
      <x:c r="L3" s="27" t="str">
        <x:v>Total físico CV*</x:v>
      </x:c>
      <x:c r="M3" s="27" t="str">
        <x:v>Total físico kW*</x:v>
      </x:c>
      <x:c r="N3" s="27" t="str">
        <x:v>Titular / reserva</x:v>
      </x:c>
      <x:c r="O3" s="27" t="str">
        <x:v>Acionamento e condições do PDF</x:v>
      </x:c>
      <x:c r="P3" s="27" t="str">
        <x:v>Fonte</x:v>
      </x:c>
      <x:c r="Q3" s="27" t="str">
        <x:v>Divergência / observação</x:v>
      </x:c>
      <x:c r="R3" s="28" t="str">
        <x:v>Status</x:v>
      </x:c>
    </x:row>
    <x:row r="4" ht="26.399999618530273" hidden="0" customHeight="1">
      <x:c r="A4" s="29" t="str">
        <x:v>QDGM1</x:v>
      </x:c>
      <x:c r="B4" s="22" t="str">
        <x:v>CCM1</x:v>
      </x:c>
      <x:c r="C4" s="22" t="str">
        <x:v>Sala de Caldeiras</x:v>
      </x:c>
      <x:c r="D4" s="22" t="str">
        <x:v>P25</x:v>
      </x:c>
      <x:c r="E4" s="22" t="n">
        <x:v>2</x:v>
      </x:c>
      <x:c r="F4" s="22" t="str">
        <x:v>P25A, P25B</x:v>
      </x:c>
      <x:c r="G4" s="22" t="str">
        <x:v>Sem potência indicada no CAD</x:v>
      </x:c>
      <x:c r="H4" s="22" t="str">
        <x:v>100 kW; A titular e B reserva</x:v>
      </x:c>
      <x:c r="I4" s="22" t="str">
        <x:v>100 kW por célula/quadro</x:v>
      </x:c>
      <x:c r="J4" s="24"/>
      <x:c r="K4" s="24" t="n">
        <x:v>100</x:v>
      </x:c>
      <x:c r="L4" s="24" t="str">
        <x:f>IF(J4="","",E4*J4)</x:f>
      </x:c>
      <x:c r="M4" s="24" t="n">
        <x:f>IF(K4="","",E4*K4)</x:f>
        <x:v>200</x:v>
      </x:c>
      <x:c r="N4" s="22" t="str">
        <x:v>1 titular (A) + 1 reserva (B)</x:v>
      </x:c>
      <x:c r="O4" s="22" t="str">
        <x:v>Carga de 100 kW; proteção contra sobrecorrentes + relé térmico + intertravamento com contator</x:v>
      </x:c>
      <x:c r="P4" s="22" t="str">
        <x:v>PDF p.5 (linhas 242-244)</x:v>
      </x:c>
      <x:c r="Q4" s="22" t="str">
        <x:v>Potência existe somente no PDF</x:v>
      </x:c>
      <x:c r="R4" s="30" t="str">
        <x:v>REVISAR</x:v>
      </x:c>
    </x:row>
    <x:row r="5" ht="15" hidden="0" customHeight="1">
      <x:c r="A5" s="29" t="str">
        <x:v>QDGM1</x:v>
      </x:c>
      <x:c r="B5" s="22" t="str">
        <x:v>CCM2</x:v>
      </x:c>
      <x:c r="C5" s="22" t="str">
        <x:v>Bombas e Prensa</x:v>
      </x:c>
      <x:c r="D5" s="22" t="str">
        <x:v>P8</x:v>
      </x:c>
      <x:c r="E5" s="22" t="n">
        <x:v>4</x:v>
      </x:c>
      <x:c r="F5" s="22" t="str">
        <x:v>P8A, P8B, P8C, P8D</x:v>
      </x:c>
      <x:c r="G5" s="22" t="str">
        <x:v>9,5 CV por célula</x:v>
      </x:c>
      <x:c r="H5" s="22" t="str">
        <x:v>PDF não informa 9,5 CV</x:v>
      </x:c>
      <x:c r="I5" s="22" t="str">
        <x:v>9,5 CV por célula</x:v>
      </x:c>
      <x:c r="J5" s="24" t="n">
        <x:v>9.5</x:v>
      </x:c>
      <x:c r="K5" s="24"/>
      <x:c r="L5" s="24" t="n">
        <x:f>IF(J5="","",E5*J5)</x:f>
        <x:v>38</x:v>
      </x:c>
      <x:c r="M5" s="24" t="str">
        <x:f>IF(K5="","",E5*K5)</x:f>
      </x:c>
      <x:c r="N5" s="22" t="str">
        <x:v>A/B titulares; C/D reservas</x:v>
      </x:c>
      <x:c r="O5" s="22" t="str">
        <x:v>Partida direta; motores II polos; tempo de partida 5 s</x:v>
      </x:c>
      <x:c r="P5" s="22" t="str">
        <x:v>CAD + PDF p.4 (165-166)</x:v>
      </x:c>
      <x:c r="Q5" s="22" t="str"/>
      <x:c r="R5" s="30" t="str">
        <x:v>OK</x:v>
      </x:c>
    </x:row>
    <x:row r="6" ht="26.399999618530273" hidden="0" customHeight="1">
      <x:c r="A6" s="29" t="str">
        <x:v>QDGM1</x:v>
      </x:c>
      <x:c r="B6" s="22" t="str">
        <x:v>CCM2</x:v>
      </x:c>
      <x:c r="C6" s="22" t="str">
        <x:v>Bombas e Prensa</x:v>
      </x:c>
      <x:c r="D6" s="22" t="str">
        <x:v>P9</x:v>
      </x:c>
      <x:c r="E6" s="22" t="n">
        <x:v>4</x:v>
      </x:c>
      <x:c r="F6" s="22" t="str">
        <x:v>P9A, P9B, P9C, P9D</x:v>
      </x:c>
      <x:c r="G6" s="22" t="str">
        <x:v>33 CV por célula</x:v>
      </x:c>
      <x:c r="H6" s="22" t="str">
        <x:v>13 CV no início -&gt; 33 CV final</x:v>
      </x:c>
      <x:c r="I6" s="22" t="str">
        <x:v>33 CV nominal por célula</x:v>
      </x:c>
      <x:c r="J6" s="24" t="n">
        <x:v>33</x:v>
      </x:c>
      <x:c r="K6" s="24"/>
      <x:c r="L6" s="24" t="n">
        <x:f>IF(J6="","",E6*J6)</x:f>
        <x:v>132</x:v>
      </x:c>
      <x:c r="M6" s="24" t="str">
        <x:f>IF(K6="","",E6*K6)</x:f>
      </x:c>
      <x:c r="N6" s="22" t="str">
        <x:v>A titular; B/C/D reservas</x:v>
      </x:c>
      <x:c r="O6" s="22" t="str">
        <x:v>1200 rpm; motor de dupla tensão; partida 7 s; torque inicial associado a 13 CV e evolui até 33 CV</x:v>
      </x:c>
      <x:c r="P6" s="22" t="str">
        <x:v>CAD + PDF p.4 (167-173)</x:v>
      </x:c>
      <x:c r="Q6" s="22" t="str">
        <x:v>13 CV inicial aparece somente no PDF</x:v>
      </x:c>
      <x:c r="R6" s="30" t="str">
        <x:v>REVISAR</x:v>
      </x:c>
    </x:row>
    <x:row r="7" ht="26.399999618530273" hidden="0" customHeight="1">
      <x:c r="A7" s="29" t="str">
        <x:v>QDGM1</x:v>
      </x:c>
      <x:c r="B7" s="22" t="str">
        <x:v>CCM3</x:v>
      </x:c>
      <x:c r="C7" s="22" t="str">
        <x:v>Depósito de Carcaças</x:v>
      </x:c>
      <x:c r="D7" s="22" t="str">
        <x:v>P1</x:v>
      </x:c>
      <x:c r="E7" s="22" t="n">
        <x:v>3</x:v>
      </x:c>
      <x:c r="F7" s="22" t="str">
        <x:v>P1A, P1B, P1C</x:v>
      </x:c>
      <x:c r="G7" s="22" t="str">
        <x:v>3 x 2 CV por célula</x:v>
      </x:c>
      <x:c r="H7" s="22" t="str">
        <x:v>PDF confirma 3 máquinas elétricas por célula, sem informar os 2 CV</x:v>
      </x:c>
      <x:c r="I7" s="22" t="str">
        <x:v>3 x 2 CV por célula</x:v>
      </x:c>
      <x:c r="J7" s="24" t="n">
        <x:v>6</x:v>
      </x:c>
      <x:c r="K7" s="24"/>
      <x:c r="L7" s="24" t="n">
        <x:f>IF(J7="","",E7*J7)</x:f>
        <x:v>18</x:v>
      </x:c>
      <x:c r="M7" s="24" t="str">
        <x:f>IF(K7="","",E7*K7)</x:f>
      </x:c>
      <x:c r="N7" s="22" t="str">
        <x:v>A/B reservas; C titular</x:v>
      </x:c>
      <x:c r="O7" s="22" t="str">
        <x:v>3 motores simultâneos; 1200 rpm; partida 2 s; falha de qualquer motor encerra o processo; relés térmicos intertravados</x:v>
      </x:c>
      <x:c r="P7" s="22" t="str">
        <x:v>CAD + PDF p.3 (138-143)</x:v>
      </x:c>
      <x:c r="Q7" s="22" t="str"/>
      <x:c r="R7" s="30" t="str">
        <x:v>OK</x:v>
      </x:c>
    </x:row>
    <x:row r="8" ht="26.399999618530273" hidden="0" customHeight="1">
      <x:c r="A8" s="29" t="str">
        <x:v>QDGM1</x:v>
      </x:c>
      <x:c r="B8" s="22" t="str">
        <x:v>CCM4</x:v>
      </x:c>
      <x:c r="C8" s="22" t="str">
        <x:v>Raspa</x:v>
      </x:c>
      <x:c r="D8" s="22" t="str">
        <x:v>P2</x:v>
      </x:c>
      <x:c r="E8" s="22" t="n">
        <x:v>1</x:v>
      </x:c>
      <x:c r="F8" s="22" t="str">
        <x:v>P2</x:v>
      </x:c>
      <x:c r="G8" s="22" t="str">
        <x:v>12 + 3 + 2 CV</x:v>
      </x:c>
      <x:c r="H8" s="22" t="str">
        <x:v>PDF confirma 2/3/12 CV</x:v>
      </x:c>
      <x:c r="I8" s="22" t="str">
        <x:v>12 + 3 + 2 CV</x:v>
      </x:c>
      <x:c r="J8" s="24" t="n">
        <x:v>17</x:v>
      </x:c>
      <x:c r="K8" s="24"/>
      <x:c r="L8" s="24" t="n">
        <x:f>IF(J8="","",E8*J8)</x:f>
        <x:v>17</x:v>
      </x:c>
      <x:c r="M8" s="24" t="str">
        <x:f>IF(K8="","",E8*K8)</x:f>
      </x:c>
      <x:c r="N8" s="22" t="str">
        <x:v>Sem reserva</x:v>
      </x:c>
      <x:c r="O8" s="22" t="str">
        <x:v>3 motores simultâneos; 900 rpm; tempos 2/3/5 s para 2/3/12 CV; intertravamento</x:v>
      </x:c>
      <x:c r="P8" s="22" t="str">
        <x:v>CAD + PDF p.3 (144-147)</x:v>
      </x:c>
      <x:c r="Q8" s="22" t="str"/>
      <x:c r="R8" s="30" t="str">
        <x:v>OK</x:v>
      </x:c>
    </x:row>
    <x:row r="9" ht="26.399999618530273" hidden="0" customHeight="1">
      <x:c r="A9" s="29" t="str">
        <x:v>QDGM1</x:v>
      </x:c>
      <x:c r="B9" s="22" t="str">
        <x:v>CCM4</x:v>
      </x:c>
      <x:c r="C9" s="22" t="str">
        <x:v>Raspa</x:v>
      </x:c>
      <x:c r="D9" s="22" t="str">
        <x:v>P3</x:v>
      </x:c>
      <x:c r="E9" s="22" t="n">
        <x:v>1</x:v>
      </x:c>
      <x:c r="F9" s="22" t="str">
        <x:v>P3</x:v>
      </x:c>
      <x:c r="G9" s="22" t="str">
        <x:v>15 + 2 CV</x:v>
      </x:c>
      <x:c r="H9" s="22" t="str">
        <x:v>PDF confirma 2/15 CV</x:v>
      </x:c>
      <x:c r="I9" s="22" t="str">
        <x:v>15 + 2 CV</x:v>
      </x:c>
      <x:c r="J9" s="24" t="n">
        <x:v>17</x:v>
      </x:c>
      <x:c r="K9" s="24"/>
      <x:c r="L9" s="24" t="n">
        <x:f>IF(J9="","",E9*J9)</x:f>
        <x:v>17</x:v>
      </x:c>
      <x:c r="M9" s="24" t="str">
        <x:f>IF(K9="","",E9*K9)</x:f>
      </x:c>
      <x:c r="N9" s="22" t="str">
        <x:v>Sem reserva</x:v>
      </x:c>
      <x:c r="O9" s="22" t="str">
        <x:v>2 motores simultâneos; IV polos; tempos 2/5 s para 2/15 CV; intertravamento</x:v>
      </x:c>
      <x:c r="P9" s="22" t="str">
        <x:v>CAD + PDF p.3 (148-151)</x:v>
      </x:c>
      <x:c r="Q9" s="22" t="str"/>
      <x:c r="R9" s="30" t="str">
        <x:v>OK</x:v>
      </x:c>
    </x:row>
    <x:row r="10" ht="26.399999618530273" hidden="0" customHeight="1">
      <x:c r="A10" s="29" t="str">
        <x:v>QDGM1</x:v>
      </x:c>
      <x:c r="B10" s="22" t="str">
        <x:v>CCM4</x:v>
      </x:c>
      <x:c r="C10" s="22" t="str">
        <x:v>Raspa</x:v>
      </x:c>
      <x:c r="D10" s="22" t="str">
        <x:v>P4</x:v>
      </x:c>
      <x:c r="E10" s="22" t="n">
        <x:v>1</x:v>
      </x:c>
      <x:c r="F10" s="22" t="str">
        <x:v>P4</x:v>
      </x:c>
      <x:c r="G10" s="22" t="str">
        <x:v>23 + 3 CV</x:v>
      </x:c>
      <x:c r="H10" s="22" t="str">
        <x:v>PDF confirma 3/23 CV</x:v>
      </x:c>
      <x:c r="I10" s="22" t="str">
        <x:v>23 + 3 CV</x:v>
      </x:c>
      <x:c r="J10" s="24" t="n">
        <x:v>26</x:v>
      </x:c>
      <x:c r="K10" s="24"/>
      <x:c r="L10" s="24" t="n">
        <x:f>IF(J10="","",E10*J10)</x:f>
        <x:v>26</x:v>
      </x:c>
      <x:c r="M10" s="24" t="str">
        <x:f>IF(K10="","",E10*K10)</x:f>
      </x:c>
      <x:c r="N10" s="22" t="str">
        <x:v>Sem reserva</x:v>
      </x:c>
      <x:c r="O10" s="22" t="str">
        <x:v>2 motores simultâneos; 1800 rpm; tempos 2/7 s para 3/23 CV; intertravamento</x:v>
      </x:c>
      <x:c r="P10" s="22" t="str">
        <x:v>CAD + PDF p.3 (152-155)</x:v>
      </x:c>
      <x:c r="Q10" s="22" t="str"/>
      <x:c r="R10" s="30" t="str">
        <x:v>OK</x:v>
      </x:c>
    </x:row>
    <x:row r="11" ht="15" hidden="0" customHeight="1">
      <x:c r="A11" s="29" t="str">
        <x:v>QDGM1</x:v>
      </x:c>
      <x:c r="B11" s="22" t="str">
        <x:v>CCM4</x:v>
      </x:c>
      <x:c r="C11" s="22" t="str">
        <x:v>Raspa</x:v>
      </x:c>
      <x:c r="D11" s="22" t="str">
        <x:v>P5</x:v>
      </x:c>
      <x:c r="E11" s="22" t="n">
        <x:v>4</x:v>
      </x:c>
      <x:c r="F11" s="22" t="str">
        <x:v>P5A, P5B, P5C, P5D</x:v>
      </x:c>
      <x:c r="G11" s="22" t="str">
        <x:v>5 CV por célula</x:v>
      </x:c>
      <x:c r="H11" s="22" t="str">
        <x:v>PDF não informa os 5 CV</x:v>
      </x:c>
      <x:c r="I11" s="22" t="str">
        <x:v>5 CV por célula</x:v>
      </x:c>
      <x:c r="J11" s="24" t="n">
        <x:v>5</x:v>
      </x:c>
      <x:c r="K11" s="24"/>
      <x:c r="L11" s="24" t="n">
        <x:f>IF(J11="","",E11*J11)</x:f>
        <x:v>20</x:v>
      </x:c>
      <x:c r="M11" s="24" t="str">
        <x:f>IF(K11="","",E11*K11)</x:f>
      </x:c>
      <x:c r="N11" s="22" t="str">
        <x:v>A/B titulares; C/D reservas</x:v>
      </x:c>
      <x:c r="O11" s="22" t="str">
        <x:v>1 motor por célula; partida direta; 900 rpm; partida 2 s</x:v>
      </x:c>
      <x:c r="P11" s="22" t="str">
        <x:v>CAD + PDF p.3 (156-158)</x:v>
      </x:c>
      <x:c r="Q11" s="22" t="str"/>
      <x:c r="R11" s="30" t="str">
        <x:v>OK</x:v>
      </x:c>
    </x:row>
    <x:row r="12" ht="26.399999618530273" hidden="0" customHeight="1">
      <x:c r="A12" s="29" t="str">
        <x:v>QDGM1</x:v>
      </x:c>
      <x:c r="B12" s="22" t="str">
        <x:v>CCM4</x:v>
      </x:c>
      <x:c r="C12" s="22" t="str">
        <x:v>Raspa</x:v>
      </x:c>
      <x:c r="D12" s="22" t="str">
        <x:v>P6</x:v>
      </x:c>
      <x:c r="E12" s="22" t="n">
        <x:v>1</x:v>
      </x:c>
      <x:c r="F12" s="22" t="str">
        <x:v>P6</x:v>
      </x:c>
      <x:c r="G12" s="22" t="str">
        <x:v>17 + 7 + 5 CV</x:v>
      </x:c>
      <x:c r="H12" s="22" t="str">
        <x:v>PDF confirma 5/7/17 CV</x:v>
      </x:c>
      <x:c r="I12" s="22" t="str">
        <x:v>17 + 7 + 5 CV</x:v>
      </x:c>
      <x:c r="J12" s="24" t="n">
        <x:v>29</x:v>
      </x:c>
      <x:c r="K12" s="24"/>
      <x:c r="L12" s="24" t="n">
        <x:f>IF(J12="","",E12*J12)</x:f>
        <x:v>29</x:v>
      </x:c>
      <x:c r="M12" s="24" t="str">
        <x:f>IF(K12="","",E12*K12)</x:f>
      </x:c>
      <x:c r="N12" s="22" t="str">
        <x:v>Sem reserva</x:v>
      </x:c>
      <x:c r="O12" s="22" t="str">
        <x:v>3 motores simultâneos; 3600 rpm; tempos 2/3/5 s para 5/7/17 CV; intertravamento</x:v>
      </x:c>
      <x:c r="P12" s="22" t="str">
        <x:v>CAD + PDF p.3 (159-162)</x:v>
      </x:c>
      <x:c r="Q12" s="22" t="str"/>
      <x:c r="R12" s="30" t="str">
        <x:v>OK</x:v>
      </x:c>
    </x:row>
    <x:row r="13" ht="15" hidden="0" customHeight="1">
      <x:c r="A13" s="29" t="str">
        <x:v>QDGM1</x:v>
      </x:c>
      <x:c r="B13" s="22" t="str">
        <x:v>CCM4</x:v>
      </x:c>
      <x:c r="C13" s="22" t="str">
        <x:v>Raspa</x:v>
      </x:c>
      <x:c r="D13" s="22" t="str">
        <x:v>P7</x:v>
      </x:c>
      <x:c r="E13" s="22" t="n">
        <x:v>1</x:v>
      </x:c>
      <x:c r="F13" s="22" t="str">
        <x:v>P7</x:v>
      </x:c>
      <x:c r="G13" s="22" t="str">
        <x:v>17 + 7 + 5 CV</x:v>
      </x:c>
      <x:c r="H13" s="22" t="str">
        <x:v>PDF: equivalente e reserva do P6</x:v>
      </x:c>
      <x:c r="I13" s="22" t="str">
        <x:v>17 + 7 + 5 CV</x:v>
      </x:c>
      <x:c r="J13" s="24" t="n">
        <x:v>29</x:v>
      </x:c>
      <x:c r="K13" s="24"/>
      <x:c r="L13" s="24" t="n">
        <x:f>IF(J13="","",E13*J13)</x:f>
        <x:v>29</x:v>
      </x:c>
      <x:c r="M13" s="24" t="str">
        <x:f>IF(K13="","",E13*K13)</x:f>
      </x:c>
      <x:c r="N13" s="22" t="str">
        <x:v>Reserva do P6</x:v>
      </x:c>
      <x:c r="O13" s="22" t="str">
        <x:v>Adotar características equivalentes ao P6</x:v>
      </x:c>
      <x:c r="P13" s="22" t="str">
        <x:v>CAD + PDF p.4 (164)</x:v>
      </x:c>
      <x:c r="Q13" s="22" t="str"/>
      <x:c r="R13" s="30" t="str">
        <x:v>OK</x:v>
      </x:c>
    </x:row>
    <x:row r="14" ht="39.599998474121094" hidden="0" customHeight="1">
      <x:c r="A14" s="29" t="str">
        <x:v>QDGM2</x:v>
      </x:c>
      <x:c r="B14" s="22" t="str">
        <x:v>CCM5</x:v>
      </x:c>
      <x:c r="C14" s="22" t="str">
        <x:v>Recapagem</x:v>
      </x:c>
      <x:c r="D14" s="22" t="str">
        <x:v>P10</x:v>
      </x:c>
      <x:c r="E14" s="22" t="n">
        <x:v>3</x:v>
      </x:c>
      <x:c r="F14" s="22" t="str">
        <x:v>P10A, P10B, P10C</x:v>
      </x:c>
      <x:c r="G14" s="22" t="str">
        <x:v>28 CV por célula</x:v>
      </x:c>
      <x:c r="H14" s="22" t="str">
        <x:v>PDF não informa 28 CV</x:v>
      </x:c>
      <x:c r="I14" s="22" t="str">
        <x:v>28 CV por célula</x:v>
      </x:c>
      <x:c r="J14" s="24" t="n">
        <x:v>28</x:v>
      </x:c>
      <x:c r="K14" s="24"/>
      <x:c r="L14" s="24" t="n">
        <x:f>IF(J14="","",E14*J14)</x:f>
        <x:v>84</x:v>
      </x:c>
      <x:c r="M14" s="24" t="str">
        <x:f>IF(K14="","",E14*K14)</x:f>
      </x:c>
      <x:c r="N14" s="22" t="str">
        <x:v>A titular; B/C reservas</x:v>
      </x:c>
      <x:c r="O14" s="22" t="str">
        <x:v>Carga tipo prensa; conjugado de partida mínimo 3x nominal; 3600 rpm; carga média/alta; alta inércia; conjugado resistente constante; 7 s</x:v>
      </x:c>
      <x:c r="P14" s="22" t="str">
        <x:v>CAD + PDF p.4 (174-177)</x:v>
      </x:c>
      <x:c r="Q14" s="22" t="str"/>
      <x:c r="R14" s="30" t="str">
        <x:v>OK</x:v>
      </x:c>
    </x:row>
    <x:row r="15" ht="39.599998474121094" hidden="0" customHeight="1">
      <x:c r="A15" s="29" t="str">
        <x:v>QDGM2</x:v>
      </x:c>
      <x:c r="B15" s="22" t="str">
        <x:v>CCM5</x:v>
      </x:c>
      <x:c r="C15" s="22" t="str">
        <x:v>Recapagem</x:v>
      </x:c>
      <x:c r="D15" s="22" t="str">
        <x:v>P11</x:v>
      </x:c>
      <x:c r="E15" s="22" t="n">
        <x:v>2</x:v>
      </x:c>
      <x:c r="F15" s="22" t="str">
        <x:v>P11A, P11B</x:v>
      </x:c>
      <x:c r="G15" s="22" t="str">
        <x:v>20 CV por célula</x:v>
      </x:c>
      <x:c r="H15" s="22" t="str">
        <x:v>PDF não informa 20 CV</x:v>
      </x:c>
      <x:c r="I15" s="22" t="str">
        <x:v>20 CV por célula</x:v>
      </x:c>
      <x:c r="J15" s="24" t="n">
        <x:v>20</x:v>
      </x:c>
      <x:c r="K15" s="24"/>
      <x:c r="L15" s="24" t="n">
        <x:f>IF(J15="","",E15*J15)</x:f>
        <x:v>40</x:v>
      </x:c>
      <x:c r="M15" s="24" t="str">
        <x:f>IF(K15="","",E15*K15)</x:f>
      </x:c>
      <x:c r="N15" s="22" t="str">
        <x:v>A titular; B reserva</x:v>
      </x:c>
      <x:c r="O15" s="22" t="str">
        <x:v>Carga tipo prensa; conjugado de partida mínimo 3x nominal; 3600 rpm; carga média/alta; alta inércia; conjugado resistente constante; 7 s</x:v>
      </x:c>
      <x:c r="P15" s="22" t="str">
        <x:v>CAD + PDF p.4 (178-181)</x:v>
      </x:c>
      <x:c r="Q15" s="22" t="str"/>
      <x:c r="R15" s="30" t="str">
        <x:v>OK</x:v>
      </x:c>
    </x:row>
    <x:row r="16" ht="39.599998474121094" hidden="0" customHeight="1">
      <x:c r="A16" s="29" t="str">
        <x:v>QDGM2</x:v>
      </x:c>
      <x:c r="B16" s="22" t="str">
        <x:v>CCM5</x:v>
      </x:c>
      <x:c r="C16" s="22" t="str">
        <x:v>Recapagem</x:v>
      </x:c>
      <x:c r="D16" s="22" t="str">
        <x:v>P12</x:v>
      </x:c>
      <x:c r="E16" s="22" t="n">
        <x:v>3</x:v>
      </x:c>
      <x:c r="F16" s="22" t="str">
        <x:v>P12A, P12B, P12C</x:v>
      </x:c>
      <x:c r="G16" s="22" t="str">
        <x:v>18 CV por célula</x:v>
      </x:c>
      <x:c r="H16" s="22" t="str">
        <x:v>PDF não informa 18 CV</x:v>
      </x:c>
      <x:c r="I16" s="22" t="str">
        <x:v>18 CV por célula</x:v>
      </x:c>
      <x:c r="J16" s="24" t="n">
        <x:v>18</x:v>
      </x:c>
      <x:c r="K16" s="24"/>
      <x:c r="L16" s="24" t="n">
        <x:f>IF(J16="","",E16*J16)</x:f>
        <x:v>54</x:v>
      </x:c>
      <x:c r="M16" s="24" t="str">
        <x:f>IF(K16="","",E16*K16)</x:f>
      </x:c>
      <x:c r="N16" s="22" t="str">
        <x:v>A/B titulares; C reserva</x:v>
      </x:c>
      <x:c r="O16" s="22" t="str">
        <x:v>Carga tipo prensa; conjugado de partida mínimo 3x nominal; 1200 rpm; carga média/alta; alta inércia; conjugado resistente constante; 5 s</x:v>
      </x:c>
      <x:c r="P16" s="22" t="str">
        <x:v>CAD + PDF p.4 (182-185)</x:v>
      </x:c>
      <x:c r="Q16" s="22" t="str"/>
      <x:c r="R16" s="30" t="str">
        <x:v>OK</x:v>
      </x:c>
    </x:row>
    <x:row r="17" ht="39.599998474121094" hidden="0" customHeight="1">
      <x:c r="A17" s="29" t="str">
        <x:v>QDGM2</x:v>
      </x:c>
      <x:c r="B17" s="22" t="str">
        <x:v>CCM5</x:v>
      </x:c>
      <x:c r="C17" s="22" t="str">
        <x:v>Recapagem</x:v>
      </x:c>
      <x:c r="D17" s="22" t="str">
        <x:v>P13</x:v>
      </x:c>
      <x:c r="E17" s="22" t="n">
        <x:v>2</x:v>
      </x:c>
      <x:c r="F17" s="22" t="str">
        <x:v>P13A, P13B</x:v>
      </x:c>
      <x:c r="G17" s="22" t="str">
        <x:v>23 CV por célula</x:v>
      </x:c>
      <x:c r="H17" s="22" t="str">
        <x:v>PDF não informa 23 CV</x:v>
      </x:c>
      <x:c r="I17" s="22" t="str">
        <x:v>23 CV por célula</x:v>
      </x:c>
      <x:c r="J17" s="24" t="n">
        <x:v>23</x:v>
      </x:c>
      <x:c r="K17" s="24"/>
      <x:c r="L17" s="24" t="n">
        <x:f>IF(J17="","",E17*J17)</x:f>
        <x:v>46</x:v>
      </x:c>
      <x:c r="M17" s="24" t="str">
        <x:f>IF(K17="","",E17*K17)</x:f>
      </x:c>
      <x:c r="N17" s="22" t="str">
        <x:v>A titular; B reserva</x:v>
      </x:c>
      <x:c r="O17" s="22" t="str">
        <x:v>Carga tipo prensa; conjugado de partida mínimo 3x nominal; 900 rpm; carga média/alta; alta inércia; conjugado resistente constante; 5 s</x:v>
      </x:c>
      <x:c r="P17" s="22" t="str">
        <x:v>CAD + PDF p.4 (186-189)</x:v>
      </x:c>
      <x:c r="Q17" s="22" t="str"/>
      <x:c r="R17" s="30" t="str">
        <x:v>OK</x:v>
      </x:c>
    </x:row>
    <x:row r="18" ht="39.599998474121094" hidden="0" customHeight="1">
      <x:c r="A18" s="29" t="str">
        <x:v>QDGM2</x:v>
      </x:c>
      <x:c r="B18" s="22" t="str">
        <x:v>CCM5</x:v>
      </x:c>
      <x:c r="C18" s="22" t="str">
        <x:v>Recapagem</x:v>
      </x:c>
      <x:c r="D18" s="22" t="str">
        <x:v>P14</x:v>
      </x:c>
      <x:c r="E18" s="22" t="n">
        <x:v>3</x:v>
      </x:c>
      <x:c r="F18" s="22" t="str">
        <x:v>P14A, P14B, P14C</x:v>
      </x:c>
      <x:c r="G18" s="22" t="str">
        <x:v>3,5 CV por célula</x:v>
      </x:c>
      <x:c r="H18" s="22" t="str">
        <x:v>PDF não informa 3,5 CV</x:v>
      </x:c>
      <x:c r="I18" s="22" t="str">
        <x:v>3,5 CV por célula</x:v>
      </x:c>
      <x:c r="J18" s="24" t="n">
        <x:v>3.5</x:v>
      </x:c>
      <x:c r="K18" s="24"/>
      <x:c r="L18" s="24" t="n">
        <x:f>IF(J18="","",E18*J18)</x:f>
        <x:v>10.5</x:v>
      </x:c>
      <x:c r="M18" s="24" t="str">
        <x:f>IF(K18="","",E18*K18)</x:f>
      </x:c>
      <x:c r="N18" s="22" t="str">
        <x:v>A/B titulares; C reserva</x:v>
      </x:c>
      <x:c r="O18" s="22" t="str">
        <x:v>Carga tipo prensa; conjugado de partida mínimo 3x nominal; 1200 rpm; carga média/alta; alta inércia; conjugado resistente constante; 3 s</x:v>
      </x:c>
      <x:c r="P18" s="22" t="str">
        <x:v>CAD + PDF p.4 (190-193)</x:v>
      </x:c>
      <x:c r="Q18" s="22" t="str"/>
      <x:c r="R18" s="30" t="str">
        <x:v>OK</x:v>
      </x:c>
    </x:row>
    <x:row r="19" ht="39.599998474121094" hidden="0" customHeight="1">
      <x:c r="A19" s="29" t="str">
        <x:v>QDGM2</x:v>
      </x:c>
      <x:c r="B19" s="22" t="str">
        <x:v>CCM5</x:v>
      </x:c>
      <x:c r="C19" s="22" t="str">
        <x:v>Recapagem</x:v>
      </x:c>
      <x:c r="D19" s="22" t="str">
        <x:v>P15</x:v>
      </x:c>
      <x:c r="E19" s="22" t="n">
        <x:v>3</x:v>
      </x:c>
      <x:c r="F19" s="22" t="str">
        <x:v>P15A, P15B, P15C</x:v>
      </x:c>
      <x:c r="G19" s="22" t="str">
        <x:v>13 CV por célula</x:v>
      </x:c>
      <x:c r="H19" s="22" t="str">
        <x:v>PDF não informa 13 CV</x:v>
      </x:c>
      <x:c r="I19" s="22" t="str">
        <x:v>13 CV por célula</x:v>
      </x:c>
      <x:c r="J19" s="24" t="n">
        <x:v>13</x:v>
      </x:c>
      <x:c r="K19" s="24"/>
      <x:c r="L19" s="24" t="n">
        <x:f>IF(J19="","",E19*J19)</x:f>
        <x:v>39</x:v>
      </x:c>
      <x:c r="M19" s="24" t="str">
        <x:f>IF(K19="","",E19*K19)</x:f>
      </x:c>
      <x:c r="N19" s="22" t="str">
        <x:v>A titular; B/C reservas</x:v>
      </x:c>
      <x:c r="O19" s="22" t="str">
        <x:v>Carga tipo prensa; conjugado de partida mínimo 3x nominal; 1200 rpm; carga média/alta; alta inércia; conjugado resistente constante; 3 s</x:v>
      </x:c>
      <x:c r="P19" s="22" t="str">
        <x:v>CAD + PDF p.4 (194-197)</x:v>
      </x:c>
      <x:c r="Q19" s="22" t="str"/>
      <x:c r="R19" s="30" t="str">
        <x:v>OK</x:v>
      </x:c>
    </x:row>
    <x:row r="20" ht="26.399999618530273" hidden="0" customHeight="1">
      <x:c r="A20" s="29" t="str">
        <x:v>QDGM2</x:v>
      </x:c>
      <x:c r="B20" s="22" t="str">
        <x:v>CCM5</x:v>
      </x:c>
      <x:c r="C20" s="22" t="str">
        <x:v>Recapagem</x:v>
      </x:c>
      <x:c r="D20" s="22" t="str">
        <x:v>P16</x:v>
      </x:c>
      <x:c r="E20" s="22" t="n">
        <x:v>2</x:v>
      </x:c>
      <x:c r="F20" s="22" t="str">
        <x:v>P16A, P16B</x:v>
      </x:c>
      <x:c r="G20" s="22" t="str">
        <x:v>3 x 7,5 CV por célula</x:v>
      </x:c>
      <x:c r="H20" s="22" t="str">
        <x:v>PDF confirma 3 motores/célula, sem informar 7,5 CV</x:v>
      </x:c>
      <x:c r="I20" s="22" t="str">
        <x:v>3 x 7,5 CV por célula</x:v>
      </x:c>
      <x:c r="J20" s="24" t="n">
        <x:v>22.5</x:v>
      </x:c>
      <x:c r="K20" s="24"/>
      <x:c r="L20" s="24" t="n">
        <x:f>IF(J20="","",E20*J20)</x:f>
        <x:v>45</x:v>
      </x:c>
      <x:c r="M20" s="24" t="str">
        <x:f>IF(K20="","",E20*K20)</x:f>
      </x:c>
      <x:c r="N20" s="22" t="str">
        <x:v>A titular; B reserva</x:v>
      </x:c>
      <x:c r="O20" s="22" t="str">
        <x:v>3 motores simultâneos; partida direta; IV polos; intertravamento; 2 s</x:v>
      </x:c>
      <x:c r="P20" s="22" t="str">
        <x:v>CAD + PDF p.4 (198-201)</x:v>
      </x:c>
      <x:c r="Q20" s="22" t="str"/>
      <x:c r="R20" s="30" t="str">
        <x:v>OK</x:v>
      </x:c>
    </x:row>
    <x:row r="21" ht="26.399999618530273" hidden="0" customHeight="1">
      <x:c r="A21" s="29" t="str">
        <x:v>QDGM2</x:v>
      </x:c>
      <x:c r="B21" s="22" t="str">
        <x:v>CCM6</x:v>
      </x:c>
      <x:c r="C21" s="22" t="str">
        <x:v>Recapagem</x:v>
      </x:c>
      <x:c r="D21" s="22" t="str">
        <x:v>P17</x:v>
      </x:c>
      <x:c r="E21" s="22" t="n">
        <x:v>2</x:v>
      </x:c>
      <x:c r="F21" s="22" t="str">
        <x:v>P17A, P17B</x:v>
      </x:c>
      <x:c r="G21" s="22" t="str">
        <x:v>23 + 9 + 2,5 CV por célula</x:v>
      </x:c>
      <x:c r="H21" s="22" t="str">
        <x:v>PDF: 2,5 CV + 9 CV + terceira máquina evolui até 28 CV</x:v>
      </x:c>
      <x:c r="I21" s="22" t="str">
        <x:v>DIVERGÊNCIA - não reconciliado</x:v>
      </x:c>
      <x:c r="J21" s="24" t="n">
        <x:v>34.5</x:v>
      </x:c>
      <x:c r="K21" s="24"/>
      <x:c r="L21" s="24" t="n">
        <x:f>IF(J21="","",E21*J21)</x:f>
        <x:v>69</x:v>
      </x:c>
      <x:c r="M21" s="24" t="str">
        <x:f>IF(K21="","",E21*K21)</x:f>
      </x:c>
      <x:c r="N21" s="22" t="str">
        <x:v>A titular; B reserva</x:v>
      </x:c>
      <x:c r="O21" s="22" t="str">
        <x:v>2,5/9 CV: partida direta, IV polos, 2/3 s. Terceira máquina: 9 CV inicial a 1800 rpm -&gt; 28 CV; dupla tensão; 7 s</x:v>
      </x:c>
      <x:c r="P21" s="22" t="str">
        <x:v>CAD + PDF p.4 (202-210)</x:v>
      </x:c>
      <x:c r="Q21" s="22" t="str">
        <x:v>CAD indica 23 CV; PDF indica 28 CV para a terceira máquina. Manter pendente até definição do professor/projeto.</x:v>
      </x:c>
      <x:c r="R21" s="30" t="str">
        <x:v>REVISAR</x:v>
      </x:c>
    </x:row>
    <x:row r="22" ht="15" hidden="0" customHeight="1">
      <x:c r="A22" s="29" t="str">
        <x:v>QDGM2</x:v>
      </x:c>
      <x:c r="B22" s="22" t="str">
        <x:v>CCM6</x:v>
      </x:c>
      <x:c r="C22" s="22" t="str">
        <x:v>Recapagem</x:v>
      </x:c>
      <x:c r="D22" s="22" t="str">
        <x:v>P18</x:v>
      </x:c>
      <x:c r="E22" s="22" t="n">
        <x:v>1</x:v>
      </x:c>
      <x:c r="F22" s="22" t="str">
        <x:v>P18</x:v>
      </x:c>
      <x:c r="G22" s="22" t="str">
        <x:v>6 CV</x:v>
      </x:c>
      <x:c r="H22" s="22" t="str">
        <x:v>PDF não informa 6 CV</x:v>
      </x:c>
      <x:c r="I22" s="22" t="str">
        <x:v>6 CV</x:v>
      </x:c>
      <x:c r="J22" s="24" t="n">
        <x:v>6</x:v>
      </x:c>
      <x:c r="K22" s="24"/>
      <x:c r="L22" s="24" t="n">
        <x:f>IF(J22="","",E22*J22)</x:f>
        <x:v>6</x:v>
      </x:c>
      <x:c r="M22" s="24" t="str">
        <x:f>IF(K22="","",E22*K22)</x:f>
      </x:c>
      <x:c r="N22" s="22" t="str">
        <x:v>Sem reserva informada</x:v>
      </x:c>
      <x:c r="O22" s="22" t="str">
        <x:v>Partida direta; IV polos; 2 s</x:v>
      </x:c>
      <x:c r="P22" s="22" t="str">
        <x:v>CAD + PDF p.4 (211-212)</x:v>
      </x:c>
      <x:c r="Q22" s="22" t="str"/>
      <x:c r="R22" s="30" t="str">
        <x:v>OK</x:v>
      </x:c>
    </x:row>
    <x:row r="23" ht="15" hidden="0" customHeight="1">
      <x:c r="A23" s="29" t="str">
        <x:v>QDGM2</x:v>
      </x:c>
      <x:c r="B23" s="22" t="str">
        <x:v>CCM6</x:v>
      </x:c>
      <x:c r="C23" s="22" t="str">
        <x:v>Recapagem</x:v>
      </x:c>
      <x:c r="D23" s="22" t="str">
        <x:v>P19</x:v>
      </x:c>
      <x:c r="E23" s="22" t="n">
        <x:v>1</x:v>
      </x:c>
      <x:c r="F23" s="22" t="str">
        <x:v>P19</x:v>
      </x:c>
      <x:c r="G23" s="22" t="str">
        <x:v>4 CV</x:v>
      </x:c>
      <x:c r="H23" s="22" t="str">
        <x:v>PDF não informa 4 CV</x:v>
      </x:c>
      <x:c r="I23" s="22" t="str">
        <x:v>4 CV</x:v>
      </x:c>
      <x:c r="J23" s="24" t="n">
        <x:v>4</x:v>
      </x:c>
      <x:c r="K23" s="24"/>
      <x:c r="L23" s="24" t="n">
        <x:f>IF(J23="","",E23*J23)</x:f>
        <x:v>4</x:v>
      </x:c>
      <x:c r="M23" s="24" t="str">
        <x:f>IF(K23="","",E23*K23)</x:f>
      </x:c>
      <x:c r="N23" s="22" t="str">
        <x:v>Sem reserva informada</x:v>
      </x:c>
      <x:c r="O23" s="22" t="str">
        <x:v>Partida direta; IV polos; 2 s</x:v>
      </x:c>
      <x:c r="P23" s="22" t="str">
        <x:v>CAD + PDF p.4 (213-214)</x:v>
      </x:c>
      <x:c r="Q23" s="22" t="str"/>
      <x:c r="R23" s="30" t="str">
        <x:v>OK</x:v>
      </x:c>
    </x:row>
    <x:row r="24" ht="26.399999618530273" hidden="0" customHeight="1">
      <x:c r="A24" s="29" t="str">
        <x:v>QDGM2</x:v>
      </x:c>
      <x:c r="B24" s="22" t="str">
        <x:v>CCM6</x:v>
      </x:c>
      <x:c r="C24" s="22" t="str">
        <x:v>Recapagem</x:v>
      </x:c>
      <x:c r="D24" s="22" t="str">
        <x:v>P20</x:v>
      </x:c>
      <x:c r="E24" s="22" t="n">
        <x:v>1</x:v>
      </x:c>
      <x:c r="F24" s="22" t="str">
        <x:v>P20</x:v>
      </x:c>
      <x:c r="G24" s="22" t="str">
        <x:v>20 kW</x:v>
      </x:c>
      <x:c r="H24" s="22" t="str">
        <x:v>PDF descreve carga resistiva sem informar 20 kW</x:v>
      </x:c>
      <x:c r="I24" s="22" t="str">
        <x:v>20 kW</x:v>
      </x:c>
      <x:c r="J24" s="24"/>
      <x:c r="K24" s="24" t="n">
        <x:v>20</x:v>
      </x:c>
      <x:c r="L24" s="24" t="str">
        <x:f>IF(J24="","",E24*J24)</x:f>
      </x:c>
      <x:c r="M24" s="24" t="n">
        <x:f>IF(K24="","",E24*K24)</x:f>
        <x:v>20</x:v>
      </x:c>
      <x:c r="N24" s="22" t="str">
        <x:v>Sem reserva informada</x:v>
      </x:c>
      <x:c r="O24" s="22" t="str">
        <x:v>Carga resistiva de aquecimento; proteção sobrecorrente; relé térmico; termostato intertravado com contator</x:v>
      </x:c>
      <x:c r="P24" s="22" t="str">
        <x:v>CAD + PDF p.4 (215-217)</x:v>
      </x:c>
      <x:c r="Q24" s="22" t="str"/>
      <x:c r="R24" s="30" t="str">
        <x:v>OK</x:v>
      </x:c>
    </x:row>
    <x:row r="25" ht="26.399999618530273" hidden="0" customHeight="1">
      <x:c r="A25" s="29" t="str">
        <x:v>QDGM2</x:v>
      </x:c>
      <x:c r="B25" s="22" t="str">
        <x:v>CCM6</x:v>
      </x:c>
      <x:c r="C25" s="22" t="str">
        <x:v>Recapagem</x:v>
      </x:c>
      <x:c r="D25" s="22" t="str">
        <x:v>P21</x:v>
      </x:c>
      <x:c r="E25" s="22" t="n">
        <x:v>1</x:v>
      </x:c>
      <x:c r="F25" s="22" t="str">
        <x:v>P21</x:v>
      </x:c>
      <x:c r="G25" s="22" t="str">
        <x:v>30 CV + 45 kW</x:v>
      </x:c>
      <x:c r="H25" s="22" t="str">
        <x:v>PDF confirma 30 CV + 45 kW; início mecânico 7,5 CV</x:v>
      </x:c>
      <x:c r="I25" s="22" t="str">
        <x:v>30 CV + 45 kW</x:v>
      </x:c>
      <x:c r="J25" s="24" t="n">
        <x:v>30</x:v>
      </x:c>
      <x:c r="K25" s="24" t="n">
        <x:v>45</x:v>
      </x:c>
      <x:c r="L25" s="24" t="n">
        <x:f>IF(J25="","",E25*J25)</x:f>
        <x:v>30</x:v>
      </x:c>
      <x:c r="M25" s="24" t="n">
        <x:f>IF(K25="","",E25*K25)</x:f>
        <x:v>45</x:v>
      </x:c>
      <x:c r="N25" s="22" t="str">
        <x:v>Sem reserva informada</x:v>
      </x:c>
      <x:c r="O25" s="22" t="str">
        <x:v>45 kW resistivo; motor parte equivalente a 7,5 CV a 1200 rpm e evolui a 30 CV; quádrupla tensão; 7 s; torque inicial 1/4</x:v>
      </x:c>
      <x:c r="P25" s="22" t="str">
        <x:v>CAD + PDF p.5 (219-225)</x:v>
      </x:c>
      <x:c r="Q25" s="22" t="str">
        <x:v>7,5 CV inicial aparece somente no PDF</x:v>
      </x:c>
      <x:c r="R25" s="30" t="str">
        <x:v>REVISAR</x:v>
      </x:c>
    </x:row>
    <x:row r="26" ht="26.399999618530273" hidden="0" customHeight="1">
      <x:c r="A26" s="29" t="str">
        <x:v>QDGM2</x:v>
      </x:c>
      <x:c r="B26" s="22" t="str">
        <x:v>CCM6</x:v>
      </x:c>
      <x:c r="C26" s="22" t="str">
        <x:v>Recapagem</x:v>
      </x:c>
      <x:c r="D26" s="22" t="str">
        <x:v>P22</x:v>
      </x:c>
      <x:c r="E26" s="22" t="n">
        <x:v>1</x:v>
      </x:c>
      <x:c r="F26" s="22" t="str">
        <x:v>P22</x:v>
      </x:c>
      <x:c r="G26" s="22" t="str">
        <x:v>50 CV + 60 kW</x:v>
      </x:c>
      <x:c r="H26" s="22" t="str">
        <x:v>PDF inicia com 50 CV + 60 kW, mas termina citando 'carga mecânica 30 CV'</x:v>
      </x:c>
      <x:c r="I26" s="22" t="str">
        <x:v>50 CV + 60 kW, com ressalva</x:v>
      </x:c>
      <x:c r="J26" s="24" t="n">
        <x:v>50</x:v>
      </x:c>
      <x:c r="K26" s="24" t="n">
        <x:v>60</x:v>
      </x:c>
      <x:c r="L26" s="24" t="n">
        <x:f>IF(J26="","",E26*J26)</x:f>
        <x:v>50</x:v>
      </x:c>
      <x:c r="M26" s="24" t="n">
        <x:f>IF(K26="","",E26*K26)</x:f>
        <x:v>60</x:v>
      </x:c>
      <x:c r="N26" s="22" t="str">
        <x:v>Sem reserva informada</x:v>
      </x:c>
      <x:c r="O26" s="22" t="str">
        <x:v>200-1400 rpm; torque inicia em 1/3 e cresce parabolicamente; 7 s; correias V 3:1; rendimento 90%</x:v>
      </x:c>
      <x:c r="P26" s="22" t="str">
        <x:v>CAD + PDF p.5 (226-231)</x:v>
      </x:c>
      <x:c r="Q26" s="22" t="str">
        <x:v>Inconsistência interna do PDF: 50 CV no início do item e 30 CV na frase final. CAD confirma 50 CV.</x:v>
      </x:c>
      <x:c r="R26" s="30" t="str">
        <x:v>REVISAR</x:v>
      </x:c>
    </x:row>
    <x:row r="27" ht="39.599998474121094" hidden="0" customHeight="1">
      <x:c r="A27" s="29" t="str">
        <x:v>QDGM2</x:v>
      </x:c>
      <x:c r="B27" s="22" t="str">
        <x:v>CCM6</x:v>
      </x:c>
      <x:c r="C27" s="22" t="str">
        <x:v>Recapagem</x:v>
      </x:c>
      <x:c r="D27" s="22" t="str">
        <x:v>P23</x:v>
      </x:c>
      <x:c r="E27" s="22" t="n">
        <x:v>1</x:v>
      </x:c>
      <x:c r="F27" s="22" t="str">
        <x:v>P23</x:v>
      </x:c>
      <x:c r="G27" s="22" t="str">
        <x:v>60 CV + 70 kW</x:v>
      </x:c>
      <x:c r="H27" s="22" t="str">
        <x:v>PDF informa 70 kW e condições de torque; 60 CV não aparece explicitamente no texto</x:v>
      </x:c>
      <x:c r="I27" s="22" t="str">
        <x:v>60 CV + 70 kW</x:v>
      </x:c>
      <x:c r="J27" s="24" t="n">
        <x:v>60</x:v>
      </x:c>
      <x:c r="K27" s="24" t="n">
        <x:v>70</x:v>
      </x:c>
      <x:c r="L27" s="24" t="n">
        <x:f>IF(J27="","",E27*J27)</x:f>
        <x:v>60</x:v>
      </x:c>
      <x:c r="M27" s="24" t="n">
        <x:f>IF(K27="","",E27*K27)</x:f>
        <x:v>70</x:v>
      </x:c>
      <x:c r="N27" s="22" t="str">
        <x:v>Sem reserva informada</x:v>
      </x:c>
      <x:c r="O27" s="22" t="str">
        <x:v>Carga térmica 70 kW; mecânica parte 40% -&gt; 60% -&gt; 100% torque; 900 rpm; 18 s; determinar TAP</x:v>
      </x:c>
      <x:c r="P27" s="22" t="str">
        <x:v>CAD + PDF p.5 (232-236)</x:v>
      </x:c>
      <x:c r="Q27" s="22" t="str">
        <x:v>60 CV provém do CAD</x:v>
      </x:c>
      <x:c r="R27" s="30" t="str">
        <x:v>REVISAR</x:v>
      </x:c>
    </x:row>
    <x:row r="28" ht="26.399999618530273" hidden="0" customHeight="1">
      <x:c r="A28" s="31" t="str">
        <x:v>QDGM2</x:v>
      </x:c>
      <x:c r="B28" s="32" t="str">
        <x:v>CCM6</x:v>
      </x:c>
      <x:c r="C28" s="32" t="str">
        <x:v>Recapagem</x:v>
      </x:c>
      <x:c r="D28" s="32" t="str">
        <x:v>P24</x:v>
      </x:c>
      <x:c r="E28" s="32" t="n">
        <x:v>1</x:v>
      </x:c>
      <x:c r="F28" s="32" t="str">
        <x:v>P24</x:v>
      </x:c>
      <x:c r="G28" s="32" t="str">
        <x:v>30 CV</x:v>
      </x:c>
      <x:c r="H28" s="32" t="str">
        <x:v>PDF não informa 30 CV</x:v>
      </x:c>
      <x:c r="I28" s="32" t="str">
        <x:v>30 CV</x:v>
      </x:c>
      <x:c r="J28" s="33" t="n">
        <x:v>30</x:v>
      </x:c>
      <x:c r="K28" s="33"/>
      <x:c r="L28" s="33" t="n">
        <x:f>IF(J28="","",E28*J28)</x:f>
        <x:v>30</x:v>
      </x:c>
      <x:c r="M28" s="33" t="str">
        <x:f>IF(K28="","",E28*K28)</x:f>
      </x:c>
      <x:c r="N28" s="32" t="str">
        <x:v>Sem reserva informada</x:v>
      </x:c>
      <x:c r="O28" s="32" t="str">
        <x:v>Motor VI polos; partida direta intermitente; 10 min em carga; 5 min repouso; partida 3 s; calcular potência/corrente equivalentes</x:v>
      </x:c>
      <x:c r="P28" s="32" t="str">
        <x:v>CAD + PDF p.5 (237-241)</x:v>
      </x:c>
      <x:c r="Q28" s="32" t="str"/>
      <x:c r="R28" s="34" t="str">
        <x:v>OK</x:v>
      </x:c>
    </x:row>
    <x:row r="30">
      <x:c r="A30" s="46" t="str">
        <x:v>* 'Total físico' soma todos os quadros/células instalados, inclusive reservas. Não representa demanda simultânea do QDGM.</x:v>
      </x:c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</x:row>
  </x:sheetData>
  <x:mergeCells>
    <x:mergeCell ref="A1:R1"/>
    <x:mergeCell ref="A30:R30"/>
  </x:mergeCells>
  <x:conditionalFormatting sqref="R4:R28">
    <x:cfRule type="expression" dxfId="0" priority="1">
      <x:formula>R4="REVISAR"</x:formula>
    </x:cfRule>
    <x:cfRule type="expression" dxfId="1" priority="2">
      <x:formula>R4="OK"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edf7447e1c4c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48" hidden="0" customWidth="1"/>
    <x:col min="5" max="5" width="26" hidden="0" customWidth="1"/>
    <x:col min="6" max="6" width="48" hidden="0" customWidth="1"/>
    <x:col min="7" max="7" width="28" hidden="0" customWidth="1"/>
  </x:cols>
  <x:sheetData>
    <x:row r="1" ht="19.200000762939453" hidden="0" customHeight="1">
      <x:c r="A1" s="4" t="str">
        <x:v>Resumo por QDGM / CCM - potência física instalada identificada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/>
    <x:row r="3" ht="15" hidden="0" customHeight="1">
      <x:c r="A3" s="54" t="str">
        <x:v>QDGM</x:v>
      </x:c>
      <x:c r="B3" s="55" t="str">
        <x:v>CCM</x:v>
      </x:c>
      <x:c r="C3" s="55" t="str">
        <x:v>Área</x:v>
      </x:c>
      <x:c r="D3" s="55" t="str">
        <x:v>Total CV físico</x:v>
      </x:c>
      <x:c r="E3" s="55" t="str">
        <x:v>Total kW físico</x:v>
      </x:c>
      <x:c r="F3" s="55" t="str">
        <x:v>Observação</x:v>
      </x:c>
      <x:c r="G3" s="56" t="str">
        <x:v>Confiabilidade</x:v>
      </x:c>
    </x:row>
    <x:row r="4" ht="15" hidden="0" customHeight="1">
      <x:c r="A4" s="57" t="str">
        <x:v>QDGM1</x:v>
      </x:c>
      <x:c r="B4" s="20" t="str">
        <x:v>CCM1</x:v>
      </x:c>
      <x:c r="C4" s="20" t="str">
        <x:v>Sala de Caldeiras</x:v>
      </x:c>
      <x:c r="D4" s="52" t="n">
        <x:v>0</x:v>
      </x:c>
      <x:c r="E4" s="52" t="n">
        <x:v>200</x:v>
      </x:c>
      <x:c r="F4" s="20" t="str">
        <x:v>P25A/P25B: 100 kW por quadro; A titular/B reserva</x:v>
      </x:c>
      <x:c r="G4" s="58" t="str">
        <x:v>PDF somente para potência</x:v>
      </x:c>
    </x:row>
    <x:row r="5" ht="15" hidden="0" customHeight="1">
      <x:c r="A5" s="57" t="str">
        <x:v>QDGM1</x:v>
      </x:c>
      <x:c r="B5" s="20" t="str">
        <x:v>CCM2</x:v>
      </x:c>
      <x:c r="C5" s="20" t="str">
        <x:v>Bombas e Prensa</x:v>
      </x:c>
      <x:c r="D5" s="52" t="n">
        <x:v>170</x:v>
      </x:c>
      <x:c r="E5" s="52" t="n">
        <x:v>0</x:v>
      </x:c>
      <x:c r="F5" s="20" t="str">
        <x:v>P8 e P9</x:v>
      </x:c>
      <x:c r="G5" s="58" t="str">
        <x:v>CAD + PDF</x:v>
      </x:c>
    </x:row>
    <x:row r="6" ht="26.399999618530273" hidden="0" customHeight="1">
      <x:c r="A6" s="57" t="str">
        <x:v>QDGM1</x:v>
      </x:c>
      <x:c r="B6" s="20" t="str">
        <x:v>CCM3</x:v>
      </x:c>
      <x:c r="C6" s="20" t="str">
        <x:v>Depósito de Carcaças</x:v>
      </x:c>
      <x:c r="D6" s="52" t="n">
        <x:v>18</x:v>
      </x:c>
      <x:c r="E6" s="52" t="n">
        <x:v>0</x:v>
      </x:c>
      <x:c r="F6" s="20" t="str">
        <x:v>P1</x:v>
      </x:c>
      <x:c r="G6" s="58" t="str">
        <x:v>CAD + PDF</x:v>
      </x:c>
    </x:row>
    <x:row r="7" ht="15" hidden="0" customHeight="1">
      <x:c r="A7" s="57" t="str">
        <x:v>QDGM1</x:v>
      </x:c>
      <x:c r="B7" s="20" t="str">
        <x:v>CCM4</x:v>
      </x:c>
      <x:c r="C7" s="20" t="str">
        <x:v>Raspa</x:v>
      </x:c>
      <x:c r="D7" s="52" t="n">
        <x:v>138</x:v>
      </x:c>
      <x:c r="E7" s="52" t="n">
        <x:v>0</x:v>
      </x:c>
      <x:c r="F7" s="20" t="str">
        <x:v>P2 a P7</x:v>
      </x:c>
      <x:c r="G7" s="58" t="str">
        <x:v>CAD + PDF</x:v>
      </x:c>
    </x:row>
    <x:row r="8" ht="15" hidden="0" customHeight="1">
      <x:c r="A8" s="57" t="str">
        <x:v>QDGM2</x:v>
      </x:c>
      <x:c r="B8" s="20" t="str">
        <x:v>CCM5</x:v>
      </x:c>
      <x:c r="C8" s="20" t="str">
        <x:v>Recapagem</x:v>
      </x:c>
      <x:c r="D8" s="52" t="n">
        <x:v>318.5</x:v>
      </x:c>
      <x:c r="E8" s="52" t="n">
        <x:v>0</x:v>
      </x:c>
      <x:c r="F8" s="20" t="str">
        <x:v>P10 a P16</x:v>
      </x:c>
      <x:c r="G8" s="58" t="str">
        <x:v>CAD + PDF</x:v>
      </x:c>
    </x:row>
    <x:row r="9" ht="26.399999618530273" hidden="0" customHeight="1">
      <x:c r="A9" s="59" t="str">
        <x:v>QDGM2</x:v>
      </x:c>
      <x:c r="B9" s="60" t="str">
        <x:v>CCM6</x:v>
      </x:c>
      <x:c r="C9" s="60" t="str">
        <x:v>Recapagem</x:v>
      </x:c>
      <x:c r="D9" s="61" t="n">
        <x:v>249</x:v>
      </x:c>
      <x:c r="E9" s="61" t="n">
        <x:v>195</x:v>
      </x:c>
      <x:c r="F9" s="60" t="str">
        <x:v>P17 a P24; CV usa o CAD para P17 (23 CV), com divergência aberta para 28 CV do PDF</x:v>
      </x:c>
      <x:c r="G9" s="62" t="str">
        <x:v>CAD + PDF / revisar P17</x:v>
      </x:c>
    </x:row>
    <x:row r="10"/>
    <x:row r="11"/>
    <x:row r="12" ht="15" hidden="0" customHeight="1">
      <x:c r="A12" s="54" t="str">
        <x:v>Escopo</x:v>
      </x:c>
      <x:c r="B12" s="55" t="str">
        <x:v>CV físico</x:v>
      </x:c>
      <x:c r="C12" s="55" t="str">
        <x:v>kW físico</x:v>
      </x:c>
      <x:c r="D12" s="55" t="str">
        <x:v>Observação</x:v>
      </x:c>
      <x:c r="E12" s="56" t="str">
        <x:v>Não confundir com</x:v>
      </x:c>
    </x:row>
    <x:row r="13" ht="15" hidden="0" customHeight="1">
      <x:c r="A13" s="57" t="str">
        <x:v>QDGM1</x:v>
      </x:c>
      <x:c r="B13" s="52" t="n">
        <x:v>326</x:v>
      </x:c>
      <x:c r="C13" s="52" t="n">
        <x:v>200</x:v>
      </x:c>
      <x:c r="D13" s="20" t="str">
        <x:v>Inclui P25A e P25B fisicamente instalados a 100 kW cada</x:v>
      </x:c>
      <x:c r="E13" s="58" t="str">
        <x:v>Demanda simultânea</x:v>
      </x:c>
    </x:row>
    <x:row r="14" ht="15" hidden="0" customHeight="1">
      <x:c r="A14" s="57" t="str">
        <x:v>QDGM2</x:v>
      </x:c>
      <x:c r="B14" s="52" t="n">
        <x:v>567.5</x:v>
      </x:c>
      <x:c r="C14" s="52" t="n">
        <x:v>195</x:v>
      </x:c>
      <x:c r="D14" s="20" t="str">
        <x:v>P17 mantido conforme CAD: 23+9+2,5 CV por célula</x:v>
      </x:c>
      <x:c r="E14" s="58" t="str">
        <x:v>Demanda simultânea</x:v>
      </x:c>
    </x:row>
    <x:row r="15" ht="26.399999618530273" hidden="0" customHeight="1">
      <x:c r="A15" s="86" t="str">
        <x:v>TOTAL</x:v>
      </x:c>
      <x:c r="B15" s="87" t="n">
        <x:v>893.5</x:v>
      </x:c>
      <x:c r="C15" s="87" t="n">
        <x:v>395</x:v>
      </x:c>
      <x:c r="D15" s="88" t="str">
        <x:v>Total físico identificado; P17 possui divergência documental</x:v>
      </x:c>
      <x:c r="E15" s="89" t="str">
        <x:v>Demanda / dimensionamento final</x:v>
      </x:c>
    </x:row>
    <x:row r="16"/>
    <x:row r="17"/>
    <x:row r="18" ht="15" hidden="0" customHeight="1">
      <x:c r="A18" s="102" t="str">
        <x:v>Cenário de auditoria</x:v>
      </x:c>
      <x:c r="B18" s="103" t="str">
        <x:v>CV QDGM2</x:v>
      </x:c>
      <x:c r="C18" s="103" t="str">
        <x:v>CV total geral</x:v>
      </x:c>
      <x:c r="D18" s="103" t="str">
        <x:v>Mudança</x:v>
      </x:c>
      <x:c r="E18" s="104" t="str">
        <x:v>Uso</x:v>
      </x:c>
    </x:row>
    <x:row r="19" ht="15" hidden="0" customHeight="1">
      <x:c r="A19" s="57" t="str">
        <x:v>P17 conforme CAD (23+9+2,5)</x:v>
      </x:c>
      <x:c r="B19" s="52" t="n">
        <x:v>567.5</x:v>
      </x:c>
      <x:c r="C19" s="52" t="n">
        <x:v>893.5</x:v>
      </x:c>
      <x:c r="D19" s="20" t="str">
        <x:v>Base atual</x:v>
      </x:c>
      <x:c r="E19" s="58" t="str">
        <x:v>Até resolver divergência</x:v>
      </x:c>
    </x:row>
    <x:row r="20" ht="15" hidden="0" customHeight="1">
      <x:c r="A20" s="59" t="str">
        <x:v>P17 conforme PDF (28+9+2,5)</x:v>
      </x:c>
      <x:c r="B20" s="61" t="n">
        <x:v>577.5</x:v>
      </x:c>
      <x:c r="C20" s="61" t="n">
        <x:v>903.5</x:v>
      </x:c>
      <x:c r="D20" s="60" t="str">
        <x:v>+10 CV físicos (2 células)</x:v>
      </x:c>
      <x:c r="E20" s="62" t="str">
        <x:v>Cenário alternativo</x:v>
      </x:c>
    </x:row>
    <x:row r="21"/>
    <x:row r="22"/>
  </x:sheetData>
  <x:mergeCells>
    <x:mergeCell ref="A1:J1"/>
  </x:mergeCells>
  <x:pageMargins left="0.7" right="0.7" top="0.75" bottom="0.75" header="0.3" footer="0.3"/>
  <x:drawing xmlns:r="http://schemas.openxmlformats.org/officeDocument/2006/relationships" r:id="R4694f38b6834432d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  <x:col min="3" max="3" width="28" hidden="0" customWidth="1"/>
    <x:col min="4" max="4" width="52" hidden="0" customWidth="1"/>
    <x:col min="5" max="5" width="42" hidden="0" customWidth="1"/>
    <x:col min="6" max="6" width="16" hidden="0" customWidth="1"/>
  </x:cols>
  <x:sheetData>
    <x:row r="1" ht="19.200000762939453" hidden="0" customHeight="1">
      <x:c r="A1" s="4" t="str">
        <x:v>Auditoria CAD x PDF - pontos que exigem atenção</x:v>
      </x:c>
      <x:c r="B1" s="4"/>
      <x:c r="C1" s="4"/>
      <x:c r="D1" s="4"/>
      <x:c r="E1" s="4"/>
      <x:c r="F1" s="4"/>
    </x:row>
    <x:row r="2"/>
    <x:row r="3" ht="15" hidden="0" customHeight="1">
      <x:c r="A3" s="54" t="str">
        <x:v>Processo</x:v>
      </x:c>
      <x:c r="B3" s="55" t="str">
        <x:v>CAD</x:v>
      </x:c>
      <x:c r="C3" s="55" t="str">
        <x:v>PDF</x:v>
      </x:c>
      <x:c r="D3" s="55" t="str">
        <x:v>Tratamento nesta versão</x:v>
      </x:c>
      <x:c r="E3" s="55" t="str">
        <x:v>Impacto</x:v>
      </x:c>
      <x:c r="F3" s="56" t="str">
        <x:v>Status</x:v>
      </x:c>
    </x:row>
    <x:row r="4" ht="26.399999618530273" hidden="0" customHeight="1">
      <x:c r="A4" s="57" t="str">
        <x:v>P25</x:v>
      </x:c>
      <x:c r="B4" s="20" t="str">
        <x:v>Sem potência</x:v>
      </x:c>
      <x:c r="C4" s="20" t="str">
        <x:v>100 kW; A titular/B reserva</x:v>
      </x:c>
      <x:c r="D4" s="20" t="str">
        <x:v>Adicionar 100 kW por quadro P25A/P25B</x:v>
      </x:c>
      <x:c r="E4" s="20" t="str">
        <x:v>CCM1 passa a ter 200 kW físicos instalados; operação titular/reserva</x:v>
      </x:c>
      <x:c r="F4" s="58" t="str">
        <x:v>CORRIGIDO</x:v>
      </x:c>
    </x:row>
    <x:row r="5" ht="15" hidden="0" customHeight="1">
      <x:c r="A5" s="57" t="str">
        <x:v>P17</x:v>
      </x:c>
      <x:c r="B5" s="20" t="str">
        <x:v>23 + 9 + 2,5 CV</x:v>
      </x:c>
      <x:c r="C5" s="20" t="str">
        <x:v>2,5 + 9 + terceira máquina até 28 CV</x:v>
      </x:c>
      <x:c r="D5" s="20" t="str">
        <x:v>Manter CAD na soma principal e registrar cenário PDF separado</x:v>
      </x:c>
      <x:c r="E5" s="20" t="str">
        <x:v>Diferença de 5 CV/célula; 10 CV físicos em A+B</x:v>
      </x:c>
      <x:c r="F5" s="58" t="str">
        <x:v>PENDENTE</x:v>
      </x:c>
    </x:row>
    <x:row r="6" ht="26.399999618530273" hidden="0" customHeight="1">
      <x:c r="A6" s="57" t="str">
        <x:v>P22</x:v>
      </x:c>
      <x:c r="B6" s="20" t="str">
        <x:v>50 CV + 60 kW</x:v>
      </x:c>
      <x:c r="C6" s="20" t="str">
        <x:v>Item começa com 50 CV + 60 kW; frase final cita 30 CV</x:v>
      </x:c>
      <x:c r="D6" s="20" t="str">
        <x:v>Usar 50 CV + 60 kW, pois CAD e início do item coincidem</x:v>
      </x:c>
      <x:c r="E6" s="20" t="str">
        <x:v>Erro/inconsistência interna do PDF</x:v>
      </x:c>
      <x:c r="F6" s="58" t="str">
        <x:v>RESSALVA</x:v>
      </x:c>
    </x:row>
    <x:row r="7" ht="26.399999618530273" hidden="0" customHeight="1">
      <x:c r="A7" s="57" t="str">
        <x:v>P9</x:v>
      </x:c>
      <x:c r="B7" s="20" t="str">
        <x:v>33 CV</x:v>
      </x:c>
      <x:c r="C7" s="20" t="str">
        <x:v>13 CV inicial -&gt; 33 CV final</x:v>
      </x:c>
      <x:c r="D7" s="20" t="str">
        <x:v>Manter 33 CV nominal e registrar condição inicial</x:v>
      </x:c>
      <x:c r="E7" s="20" t="str">
        <x:v>Afeta escolha do acionamento, não a potência nominal consolidada</x:v>
      </x:c>
      <x:c r="F7" s="58" t="str">
        <x:v>CORRIGIDO</x:v>
      </x:c>
    </x:row>
    <x:row r="8" ht="15" hidden="0" customHeight="1">
      <x:c r="A8" s="59" t="str">
        <x:v>P21</x:v>
      </x:c>
      <x:c r="B8" s="60" t="str">
        <x:v>30 CV + 45 kW</x:v>
      </x:c>
      <x:c r="C8" s="60" t="str">
        <x:v>7,5 CV inicial -&gt; 30 CV + 45 kW</x:v>
      </x:c>
      <x:c r="D8" s="60" t="str">
        <x:v>Manter 30 CV + 45 kW e registrar condição inicial</x:v>
      </x:c>
      <x:c r="E8" s="60" t="str">
        <x:v>Afeta acionamento e partida</x:v>
      </x:c>
      <x:c r="F8" s="62" t="str">
        <x:v>CORRIGIDO</x:v>
      </x:c>
    </x:row>
    <x:row r="9"/>
    <x:row r="10"/>
    <x:row r="11" ht="15" hidden="0" customHeight="1">
      <x:c r="A11" s="54" t="str">
        <x:v>Requisito geral</x:v>
      </x:c>
      <x:c r="B11" s="55" t="str">
        <x:v>Valor / regra</x:v>
      </x:c>
      <x:c r="C11" s="56" t="str">
        <x:v>Fonte</x:v>
      </x:c>
    </x:row>
    <x:row r="12" ht="15" hidden="0" customHeight="1">
      <x:c r="A12" s="57" t="str">
        <x:v>Tensão / frequência</x:v>
      </x:c>
      <x:c r="B12" s="20" t="str">
        <x:v>380/220 Vca, 60 Hz</x:v>
      </x:c>
      <x:c r="C12" s="58" t="str">
        <x:v>PDF p.1, linhas 3-5</x:v>
      </x:c>
    </x:row>
    <x:row r="13" ht="15" hidden="0" customHeight="1">
      <x:c r="A13" s="57" t="str">
        <x:v>Altitude</x:v>
      </x:c>
      <x:c r="B13" s="20" t="str">
        <x:v>1200 m</x:v>
      </x:c>
      <x:c r="C13" s="58" t="str">
        <x:v>PDF p.1, linhas 3-4</x:v>
      </x:c>
    </x:row>
    <x:row r="14" ht="15" hidden="0" customHeight="1">
      <x:c r="A14" s="57" t="str">
        <x:v>Temperatura ambiente média</x:v>
      </x:c>
      <x:c r="B14" s="20" t="str">
        <x:v>45 °C</x:v>
      </x:c>
      <x:c r="C14" s="58" t="str">
        <x:v>PDF p.1, linhas 3-4</x:v>
      </x:c>
    </x:row>
    <x:row r="15" ht="26.399999618530273" hidden="0" customHeight="1">
      <x:c r="A15" s="57" t="str">
        <x:v>Motores</x:v>
      </x:c>
      <x:c r="B15" s="20" t="str">
        <x:v>WEG W22 IR3 Premium; dimensionamento pelo torque equivalente requerido pela potência mecânica</x:v>
      </x:c>
      <x:c r="C15" s="58" t="str">
        <x:v>PDF p.3, linhas 130-133</x:v>
      </x:c>
    </x:row>
    <x:row r="16" ht="15" hidden="0" customHeight="1">
      <x:c r="A16" s="57" t="str">
        <x:v>Icc presumida nos CCMs</x:v>
      </x:c>
      <x:c r="B16" s="20" t="str">
        <x:v>7 kA</x:v>
      </x:c>
      <x:c r="C16" s="58" t="str">
        <x:v>PDF p.3, linhas 134-137</x:v>
      </x:c>
    </x:row>
    <x:row r="17" ht="26.399999618530273" hidden="0" customHeight="1">
      <x:c r="A17" s="57" t="str">
        <x:v>Quadro por célula</x:v>
      </x:c>
      <x:c r="B17" s="20" t="str">
        <x:v>Um único quadro de acionamento/proteção por célula; prever temporizadores/intertravamento quando houver tempos de partida distintos</x:v>
      </x:c>
      <x:c r="C17" s="58" t="str">
        <x:v>PDF p.1, linhas 10-18</x:v>
      </x:c>
    </x:row>
    <x:row r="18" ht="15" hidden="0" customHeight="1">
      <x:c r="A18" s="57" t="str">
        <x:v>Correção de fator de potência</x:v>
      </x:c>
      <x:c r="B18" s="20" t="str">
        <x:v>Por QDGM, em QDMC específico ao lado do QDGM, caso necessário</x:v>
      </x:c>
      <x:c r="C18" s="58" t="str">
        <x:v>PDF p.1, linhas 19-23</x:v>
      </x:c>
    </x:row>
    <x:row r="19" ht="26.399999618530273" hidden="0" customHeight="1">
      <x:c r="A19" s="59" t="str">
        <x:v>Observação de totais</x:v>
      </x:c>
      <x:c r="B19" s="60" t="str">
        <x:v>Totais físicos instalados não equivalem à demanda: há células titulares/reservas e condições de partida distintas.</x:v>
      </x:c>
      <x:c r="C19" s="62" t="str">
        <x:v>Consolidação CAD + PDF</x:v>
      </x:c>
    </x:row>
    <x:row r="20"/>
    <x:row r="21"/>
  </x:sheetData>
  <x:mergeCells>
    <x:mergeCell ref="A1:F1"/>
  </x:mergeCells>
  <x:conditionalFormatting sqref="F4:F8">
    <x:cfRule type="expression" dxfId="2" priority="1">
      <x:formula>F4="PENDENTE"</x:formula>
    </x:cfRule>
    <x:cfRule type="expression" dxfId="3" priority="2">
      <x:formula>F4="CORRIGIDO"</x:formula>
    </x:cfRule>
    <x:cfRule type="expression" dxfId="4" priority="3">
      <x:formula>F4="RESSALVA"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54" hidden="0" customWidth="1"/>
    <x:col min="4" max="4" width="70" hidden="0" customWidth="1"/>
  </x:cols>
  <x:sheetData>
    <x:row r="1" ht="19.200000762939453" hidden="0" customHeight="1">
      <x:c r="A1" s="4" t="str">
        <x:v>Hierarquia QDGM -&gt; CCM -&gt; processos</x:v>
      </x:c>
      <x:c r="B1" s="4"/>
      <x:c r="C1" s="4"/>
      <x:c r="D1" s="4"/>
    </x:row>
    <x:row r="2"/>
    <x:row r="3" ht="15" hidden="0" customHeight="1">
      <x:c r="A3" s="54" t="str">
        <x:v>QDGM</x:v>
      </x:c>
      <x:c r="B3" s="55" t="str">
        <x:v>CCM</x:v>
      </x:c>
      <x:c r="C3" s="55" t="str">
        <x:v>Localização</x:v>
      </x:c>
      <x:c r="D3" s="56" t="str">
        <x:v>Processos / quadros</x:v>
      </x:c>
    </x:row>
    <x:row r="4" ht="15" hidden="0" customHeight="1">
      <x:c r="A4" s="57" t="str">
        <x:v>QDGM1</x:v>
      </x:c>
      <x:c r="B4" s="20" t="str">
        <x:v>CCM1</x:v>
      </x:c>
      <x:c r="C4" s="20" t="str">
        <x:v>Sala de Caldeiras</x:v>
      </x:c>
      <x:c r="D4" s="58" t="str">
        <x:v>P25A, P25B</x:v>
      </x:c>
    </x:row>
    <x:row r="5" ht="15" hidden="0" customHeight="1">
      <x:c r="A5" s="57" t="str">
        <x:v>QDGM1</x:v>
      </x:c>
      <x:c r="B5" s="20" t="str">
        <x:v>CCM2</x:v>
      </x:c>
      <x:c r="C5" s="20" t="str">
        <x:v>Bombas e Prensa</x:v>
      </x:c>
      <x:c r="D5" s="58" t="str">
        <x:v>P8A-D; P9A-D</x:v>
      </x:c>
    </x:row>
    <x:row r="6" ht="15" hidden="0" customHeight="1">
      <x:c r="A6" s="57" t="str">
        <x:v>QDGM1</x:v>
      </x:c>
      <x:c r="B6" s="20" t="str">
        <x:v>CCM3</x:v>
      </x:c>
      <x:c r="C6" s="20" t="str">
        <x:v>Depósito de Carcaças</x:v>
      </x:c>
      <x:c r="D6" s="58" t="str">
        <x:v>P1A-C</x:v>
      </x:c>
    </x:row>
    <x:row r="7" ht="15" hidden="0" customHeight="1">
      <x:c r="A7" s="57" t="str">
        <x:v>QDGM1</x:v>
      </x:c>
      <x:c r="B7" s="20" t="str">
        <x:v>CCM4</x:v>
      </x:c>
      <x:c r="C7" s="20" t="str">
        <x:v>Raspa</x:v>
      </x:c>
      <x:c r="D7" s="58" t="str">
        <x:v>P2; P3; P4; P5A-D; P6; P7</x:v>
      </x:c>
    </x:row>
    <x:row r="8" ht="15" hidden="0" customHeight="1">
      <x:c r="A8" s="57" t="str">
        <x:v>QDGM2</x:v>
      </x:c>
      <x:c r="B8" s="20" t="str">
        <x:v>CCM5</x:v>
      </x:c>
      <x:c r="C8" s="20" t="str">
        <x:v>Recapagem, junto à parede divisória com Caldeiras</x:v>
      </x:c>
      <x:c r="D8" s="58" t="str">
        <x:v>P10A-C; P11A-B; P12A-C; P13A-B; P14A-C; P15A-C; P16A-B</x:v>
      </x:c>
    </x:row>
    <x:row r="9" ht="15" hidden="0" customHeight="1">
      <x:c r="A9" s="59" t="str">
        <x:v>QDGM2</x:v>
      </x:c>
      <x:c r="B9" s="60" t="str">
        <x:v>CCM6</x:v>
      </x:c>
      <x:c r="C9" s="60" t="str">
        <x:v>Recapagem, junto à parede externa à esquerda</x:v>
      </x:c>
      <x:c r="D9" s="62" t="str">
        <x:v>P17A-B; P18; P19; P20; P21; P22; P23; P24</x:v>
      </x:c>
    </x:row>
    <x:row r="10"/>
    <x:row r="11"/>
    <x:row r="12"/>
  </x:sheetData>
  <x:mergeCells>
    <x:mergeCell ref="A1:D1"/>
  </x:mergeCells>
  <x:pageMargins left="0.7" right="0.7" top="0.75" bottom="0.75" header="0.3" footer="0.3"/>
</x:worksheet>
</file>